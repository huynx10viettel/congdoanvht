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/>
  <mc:AlternateContent xmlns:mc="http://schemas.openxmlformats.org/markup-compatibility/2006">
    <mc:Choice Requires="x15">
      <x15ac:absPath xmlns:x15ac="http://schemas.microsoft.com/office/spreadsheetml/2010/11/ac" url="/Users/huynx268/Downloads/"/>
    </mc:Choice>
  </mc:AlternateContent>
  <xr:revisionPtr revIDLastSave="0" documentId="13_ncr:1_{B7513DEB-1B4E-6D43-83AF-58CA00F3633E}" xr6:coauthVersionLast="47" xr6:coauthVersionMax="47" xr10:uidLastSave="{00000000-0000-0000-0000-000000000000}"/>
  <bookViews>
    <workbookView xWindow="0" yWindow="600" windowWidth="29040" windowHeight="20580" activeTab="1" xr2:uid="{00000000-000D-0000-FFFF-FFFF00000000}"/>
  </bookViews>
  <sheets>
    <sheet name="_56F9DC9755BA473782653E2940F9" sheetId="2" state="veryHidden" r:id="rId1"/>
    <sheet name="CD - PL in cho ký nhận (" sheetId="8" r:id="rId2"/>
  </sheets>
  <definedNames>
    <definedName name="_56F9DC9755BA473782653E2940F9FormId">"V6Pjw_ttoUmOduXsd8ZfwTMuH55bJJ5DuWEHs2W93ZZUNE1RQzRLSURHTVRORFlNVjEwS1I5TktLVi4u"</definedName>
    <definedName name="_56F9DC9755BA473782653E2940F9ResponseSheet">"Form1"</definedName>
    <definedName name="_56F9DC9755BA473782653E2940F9SourceDocId">"{5996ccd8-9206-40fc-b022-c89f400779c7}"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8" l="1"/>
  <c r="I11" i="8"/>
  <c r="I12" i="8"/>
  <c r="I13" i="8"/>
  <c r="I14" i="8"/>
  <c r="I9" i="8"/>
  <c r="H15" i="8"/>
  <c r="F15" i="8"/>
  <c r="A8" i="8"/>
  <c r="I8" i="8" l="1"/>
  <c r="I15" i="8" s="1"/>
  <c r="A23" i="8" s="1"/>
  <c r="G15" i="8"/>
  <c r="B23" i="8" l="1"/>
  <c r="C24" i="8" l="1"/>
  <c r="F24" i="8"/>
  <c r="P24" i="8"/>
  <c r="N24" i="8"/>
  <c r="M24" i="8"/>
  <c r="J24" i="8"/>
  <c r="I24" i="8"/>
  <c r="E24" i="8"/>
  <c r="D24" i="8"/>
  <c r="O24" i="8"/>
  <c r="D27" i="8" l="1"/>
  <c r="D26" i="8"/>
  <c r="P25" i="8"/>
  <c r="O27" i="8"/>
  <c r="O26" i="8"/>
  <c r="O25" i="8"/>
  <c r="I26" i="8"/>
  <c r="M27" i="8"/>
  <c r="M26" i="8"/>
  <c r="P27" i="8"/>
  <c r="P26" i="8"/>
  <c r="I25" i="8"/>
  <c r="I27" i="8" s="1"/>
  <c r="F26" i="8"/>
  <c r="F27" i="8"/>
  <c r="F25" i="8"/>
  <c r="E26" i="8"/>
  <c r="J26" i="8"/>
  <c r="N25" i="8"/>
  <c r="N27" i="8" s="1"/>
  <c r="M25" i="8"/>
  <c r="J27" i="8"/>
  <c r="J25" i="8"/>
  <c r="N26" i="8"/>
  <c r="C27" i="8"/>
  <c r="C26" i="8"/>
  <c r="C25" i="8"/>
  <c r="E25" i="8"/>
  <c r="E27" i="8" s="1"/>
  <c r="D25" i="8"/>
  <c r="B28" i="8" l="1"/>
</calcChain>
</file>

<file path=xl/sharedStrings.xml><?xml version="1.0" encoding="utf-8"?>
<sst xmlns="http://schemas.openxmlformats.org/spreadsheetml/2006/main" count="71" uniqueCount="52">
  <si>
    <t>V6Pjw_ttoUmOduXsd8ZfwTMuH55bJJ5DuWEHs2W93ZZUNE1RQzRLSURHTVRORFlNVjEwS1I5TktLVi4u</t>
  </si>
  <si>
    <t>Form1</t>
  </si>
  <si>
    <t>{5996ccd8-9206-40fc-b022-c89f400779c7}</t>
  </si>
  <si>
    <t>TỔNG CÔNG TY CÔNG NGHIỆP CÔNG NGHỆ CAO VIETTEL</t>
  </si>
  <si>
    <r>
      <t>CÔ</t>
    </r>
    <r>
      <rPr>
        <b/>
        <u/>
        <sz val="13"/>
        <color theme="1"/>
        <rFont val="Times New Roman"/>
        <family val="1"/>
      </rPr>
      <t xml:space="preserve">NG ĐOÀN CƠ </t>
    </r>
    <r>
      <rPr>
        <b/>
        <sz val="13"/>
        <color theme="1"/>
        <rFont val="Times New Roman"/>
        <family val="1"/>
      </rPr>
      <t>SỞ</t>
    </r>
  </si>
  <si>
    <t>TT</t>
  </si>
  <si>
    <t>MÃ NV</t>
  </si>
  <si>
    <t>HỌ VÀ TÊN</t>
  </si>
  <si>
    <t>NỘI DUNG</t>
  </si>
  <si>
    <t>ĐƠN VỊ</t>
  </si>
  <si>
    <t>CÔNG ĐOÀN</t>
  </si>
  <si>
    <t>PHÚC LỢI</t>
  </si>
  <si>
    <t>THUẾ TNCN</t>
  </si>
  <si>
    <t>THỰC NHẬN
(VNĐ)</t>
  </si>
  <si>
    <t>HỌ TÊN</t>
  </si>
  <si>
    <t>QUAN HỆ GIA ĐÌNH</t>
  </si>
  <si>
    <t>HỒ SƠ KÈM THEO</t>
  </si>
  <si>
    <t>KÝ NHẬN
 (Ký và ghi rõ họ tên)</t>
  </si>
  <si>
    <t xml:space="preserve">                                                TỔNG CỘNG </t>
  </si>
  <si>
    <t>BẰNG CHỮ</t>
  </si>
  <si>
    <t>Sáu triệu đồng./.</t>
  </si>
  <si>
    <t>NGƯỜI NHẬN TIỀN</t>
  </si>
  <si>
    <t>NGƯỜI LẬP PHIẾU</t>
  </si>
  <si>
    <t>CHỦ TỊCH CĐCS</t>
  </si>
  <si>
    <t>{ten_cbcnv}</t>
  </si>
  <si>
    <t>{ma_nv}</t>
  </si>
  <si>
    <t>{don_vi}</t>
  </si>
  <si>
    <t>{quy_phuc_loi}</t>
  </si>
  <si>
    <t>{quy_cong_doan}</t>
  </si>
  <si>
    <t>{ten_than_nhan_cbcnv}</t>
  </si>
  <si>
    <t>{quan_he_than_nhan}</t>
  </si>
  <si>
    <t>{ho so} ngày {ngay_ho_so}</t>
  </si>
  <si>
    <t>Nguyễn Van A</t>
  </si>
  <si>
    <t>Chi kinh phí CĐ, PL thăm hỏi {quan_he_than_nhan} đ/c {ten_cbcnv} {loai_tham_hoi}</t>
  </si>
  <si>
    <t>TT A</t>
  </si>
  <si>
    <t>Nguyễn Văn B</t>
  </si>
  <si>
    <t>Bố đẻ</t>
  </si>
  <si>
    <t>Chi kinh phí CĐ, PL thăm hỏi bố đẻ đ/c Nguyễn Văn A ốm</t>
  </si>
  <si>
    <t>Giấy ra viện ngày 22/06/2025</t>
  </si>
  <si>
    <t>Giấy ra viện ngày 22/06/2026</t>
  </si>
  <si>
    <t>Chi kinh phí CĐ, PL thăm hỏi đ/c Nguyễn Văn A ốm</t>
  </si>
  <si>
    <t>Bản thân</t>
  </si>
  <si>
    <t>Nguyễn Văn A</t>
  </si>
  <si>
    <t>Chi kinh phí CĐ, PL chúc mừng đ/c Nguyễn Văn A sinh con</t>
  </si>
  <si>
    <t>Chi kinh phí CĐ, PL chúc mừng đ/c Nguyễn Văn A kết hôn</t>
  </si>
  <si>
    <t>Giấy khai sinh số 22/2026</t>
  </si>
  <si>
    <t>Thiệp cưới ngày 22/06/2026</t>
  </si>
  <si>
    <t>Cáo phó ngày 22/06/2026</t>
  </si>
  <si>
    <t>Chi kinh phí CĐ, PL thăm viếng bố đẻ đ/c Nguyễn Văn A từ trần</t>
  </si>
  <si>
    <t>Chi kinh phí CĐ, PL thăm hỏi đ/c Nguyễn Văn A từ trần</t>
  </si>
  <si>
    <t xml:space="preserve">(Kèm theo phiếu chi số PC_CĐCS số              ngày    /       /2026)												</t>
  </si>
  <si>
    <t xml:space="preserve">DANH SÁCH CHI TIỀN CÔNG ĐOÀN PHÚC LỢI CĐBP KHỐI 3 THÁNG 6 2026									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</si>
</sst>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\ _₫_-;\-* #,##0.00\ _₫_-;_-* &quot;-&quot;??\ _₫_-;_-@_-"/>
    <numFmt numFmtId="165" formatCode="_(* #,##0_);_(* \(#,##0\);_(* &quot;-&quot;??_);_(@_)"/>
    <numFmt numFmtId="166" formatCode="_-* #,##0\ _₫_-;\-* #,##0\ _₫_-;_-* &quot;-&quot;??\ _₫_-;_-@_-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VNI-Times"/>
    </font>
    <font>
      <sz val="10"/>
      <name val=".VnArial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4"/>
      <color theme="1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sz val="16"/>
      <color theme="1"/>
      <name val="Times New Roman"/>
      <family val="1"/>
    </font>
    <font>
      <i/>
      <sz val="1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b/>
      <sz val="12"/>
      <color indexed="10"/>
      <name val="Times New Roman"/>
      <family val="1"/>
    </font>
    <font>
      <b/>
      <sz val="12"/>
      <color indexed="12"/>
      <name val="Times New Roman"/>
      <family val="1"/>
    </font>
    <font>
      <b/>
      <sz val="12"/>
      <name val="Times New Roman"/>
      <family val="1"/>
    </font>
    <font>
      <sz val="12"/>
      <color indexed="12"/>
      <name val="Times New Roman"/>
      <family val="1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43" fontId="2" fillId="0" borderId="0" applyFont="0" applyFill="0" applyBorder="0" applyAlignment="0" applyProtection="0"/>
    <xf numFmtId="0" fontId="4" fillId="0" borderId="0"/>
  </cellStyleXfs>
  <cellXfs count="69">
    <xf numFmtId="0" fontId="0" fillId="0" borderId="0" xfId="0"/>
    <xf numFmtId="49" fontId="0" fillId="0" borderId="0" xfId="0" applyNumberForma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1" applyFont="1" applyAlignment="1">
      <alignment horizontal="center" vertical="center" wrapText="1"/>
    </xf>
    <xf numFmtId="0" fontId="11" fillId="0" borderId="0" xfId="5" applyFont="1"/>
    <xf numFmtId="49" fontId="5" fillId="0" borderId="0" xfId="0" applyNumberFormat="1" applyFont="1" applyAlignment="1">
      <alignment vertical="center" wrapText="1"/>
    </xf>
    <xf numFmtId="0" fontId="16" fillId="0" borderId="0" xfId="1" applyFont="1" applyAlignment="1">
      <alignment vertical="center"/>
    </xf>
    <xf numFmtId="49" fontId="7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vertical="center" wrapText="1"/>
    </xf>
    <xf numFmtId="165" fontId="7" fillId="0" borderId="0" xfId="2" applyNumberFormat="1" applyFont="1" applyAlignment="1">
      <alignment vertical="center" wrapText="1"/>
    </xf>
    <xf numFmtId="0" fontId="17" fillId="2" borderId="1" xfId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49" fontId="18" fillId="0" borderId="1" xfId="0" applyNumberFormat="1" applyFont="1" applyBorder="1" applyAlignment="1">
      <alignment horizontal="left" vertical="center" wrapText="1"/>
    </xf>
    <xf numFmtId="0" fontId="19" fillId="0" borderId="0" xfId="1" applyFont="1" applyAlignment="1">
      <alignment horizontal="center" vertical="center" wrapText="1"/>
    </xf>
    <xf numFmtId="0" fontId="20" fillId="0" borderId="0" xfId="1" applyFont="1" applyAlignment="1">
      <alignment horizontal="center" vertical="center" wrapText="1"/>
    </xf>
    <xf numFmtId="165" fontId="22" fillId="0" borderId="0" xfId="6" applyNumberFormat="1" applyFont="1"/>
    <xf numFmtId="49" fontId="23" fillId="3" borderId="0" xfId="7" applyNumberFormat="1" applyFont="1" applyFill="1" applyAlignment="1" applyProtection="1">
      <alignment horizontal="center"/>
      <protection hidden="1"/>
    </xf>
    <xf numFmtId="0" fontId="24" fillId="4" borderId="0" xfId="7" applyFont="1" applyFill="1" applyAlignment="1" applyProtection="1">
      <alignment horizontal="center"/>
      <protection hidden="1"/>
    </xf>
    <xf numFmtId="0" fontId="24" fillId="5" borderId="0" xfId="7" applyFont="1" applyFill="1" applyAlignment="1" applyProtection="1">
      <alignment horizontal="center"/>
      <protection hidden="1"/>
    </xf>
    <xf numFmtId="0" fontId="24" fillId="6" borderId="0" xfId="7" applyFont="1" applyFill="1" applyAlignment="1" applyProtection="1">
      <alignment horizontal="center"/>
      <protection hidden="1"/>
    </xf>
    <xf numFmtId="0" fontId="24" fillId="7" borderId="0" xfId="7" applyFont="1" applyFill="1" applyAlignment="1" applyProtection="1">
      <alignment horizontal="center"/>
      <protection hidden="1"/>
    </xf>
    <xf numFmtId="166" fontId="11" fillId="0" borderId="0" xfId="8" applyNumberFormat="1" applyFont="1"/>
    <xf numFmtId="0" fontId="11" fillId="0" borderId="0" xfId="6" applyFont="1"/>
    <xf numFmtId="49" fontId="11" fillId="3" borderId="0" xfId="7" applyNumberFormat="1" applyFont="1" applyFill="1" applyProtection="1">
      <protection hidden="1"/>
    </xf>
    <xf numFmtId="0" fontId="25" fillId="4" borderId="0" xfId="7" applyFont="1" applyFill="1" applyProtection="1">
      <protection hidden="1"/>
    </xf>
    <xf numFmtId="0" fontId="25" fillId="5" borderId="0" xfId="7" applyFont="1" applyFill="1" applyProtection="1">
      <protection hidden="1"/>
    </xf>
    <xf numFmtId="0" fontId="25" fillId="6" borderId="0" xfId="7" applyFont="1" applyFill="1" applyProtection="1">
      <protection hidden="1"/>
    </xf>
    <xf numFmtId="0" fontId="25" fillId="7" borderId="0" xfId="7" applyFont="1" applyFill="1" applyProtection="1">
      <protection hidden="1"/>
    </xf>
    <xf numFmtId="0" fontId="25" fillId="4" borderId="0" xfId="9" applyFont="1" applyFill="1" applyAlignment="1" applyProtection="1">
      <alignment horizontal="center"/>
      <protection hidden="1"/>
    </xf>
    <xf numFmtId="0" fontId="25" fillId="5" borderId="0" xfId="9" applyFont="1" applyFill="1" applyAlignment="1" applyProtection="1">
      <alignment horizontal="center"/>
      <protection hidden="1"/>
    </xf>
    <xf numFmtId="0" fontId="25" fillId="6" borderId="0" xfId="9" applyFont="1" applyFill="1" applyAlignment="1" applyProtection="1">
      <alignment horizontal="center"/>
      <protection hidden="1"/>
    </xf>
    <xf numFmtId="0" fontId="25" fillId="7" borderId="0" xfId="9" applyFont="1" applyFill="1" applyAlignment="1" applyProtection="1">
      <alignment horizontal="center"/>
      <protection hidden="1"/>
    </xf>
    <xf numFmtId="0" fontId="25" fillId="4" borderId="0" xfId="7" applyFont="1" applyFill="1" applyAlignment="1" applyProtection="1">
      <alignment horizontal="center"/>
      <protection hidden="1"/>
    </xf>
    <xf numFmtId="0" fontId="25" fillId="5" borderId="0" xfId="7" applyFont="1" applyFill="1" applyAlignment="1" applyProtection="1">
      <alignment horizontal="center"/>
      <protection hidden="1"/>
    </xf>
    <xf numFmtId="0" fontId="25" fillId="6" borderId="0" xfId="7" applyFont="1" applyFill="1" applyAlignment="1" applyProtection="1">
      <alignment horizontal="center"/>
      <protection hidden="1"/>
    </xf>
    <xf numFmtId="0" fontId="25" fillId="7" borderId="0" xfId="7" applyFont="1" applyFill="1" applyAlignment="1" applyProtection="1">
      <alignment horizontal="center"/>
      <protection hidden="1"/>
    </xf>
    <xf numFmtId="49" fontId="25" fillId="0" borderId="0" xfId="7" applyNumberFormat="1" applyFont="1" applyProtection="1">
      <protection hidden="1"/>
    </xf>
    <xf numFmtId="0" fontId="11" fillId="0" borderId="0" xfId="7" applyFont="1" applyProtection="1">
      <protection hidden="1"/>
    </xf>
    <xf numFmtId="0" fontId="10" fillId="0" borderId="2" xfId="0" applyFont="1" applyBorder="1" applyAlignment="1">
      <alignment horizontal="center" vertical="center" wrapText="1"/>
    </xf>
    <xf numFmtId="49" fontId="10" fillId="0" borderId="2" xfId="0" applyNumberFormat="1" applyFont="1" applyBorder="1" applyAlignment="1">
      <alignment horizontal="center" vertical="center" wrapText="1"/>
    </xf>
    <xf numFmtId="165" fontId="10" fillId="0" borderId="2" xfId="2" applyNumberFormat="1" applyFont="1" applyBorder="1" applyAlignment="1">
      <alignment horizontal="center" vertical="center" wrapText="1"/>
    </xf>
    <xf numFmtId="0" fontId="10" fillId="2" borderId="2" xfId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1" fillId="2" borderId="2" xfId="0" quotePrefix="1" applyFont="1" applyFill="1" applyBorder="1" applyAlignment="1">
      <alignment horizontal="left" vertical="center" wrapText="1"/>
    </xf>
    <xf numFmtId="0" fontId="9" fillId="0" borderId="2" xfId="0" applyFont="1" applyBorder="1" applyAlignment="1">
      <alignment vertical="center" wrapText="1"/>
    </xf>
    <xf numFmtId="3" fontId="11" fillId="0" borderId="2" xfId="0" applyNumberFormat="1" applyFont="1" applyBorder="1" applyAlignment="1">
      <alignment horizontal="right" vertical="center" wrapText="1"/>
    </xf>
    <xf numFmtId="165" fontId="9" fillId="0" borderId="2" xfId="2" applyNumberFormat="1" applyFont="1" applyBorder="1" applyAlignment="1">
      <alignment horizontal="center" vertical="center" wrapText="1"/>
    </xf>
    <xf numFmtId="0" fontId="11" fillId="2" borderId="2" xfId="4" applyFont="1" applyFill="1" applyBorder="1" applyAlignment="1">
      <alignment horizontal="left" vertical="center" wrapText="1"/>
    </xf>
    <xf numFmtId="0" fontId="17" fillId="2" borderId="2" xfId="1" applyFont="1" applyFill="1" applyBorder="1" applyAlignment="1">
      <alignment horizontal="center" vertical="center" wrapText="1"/>
    </xf>
    <xf numFmtId="0" fontId="17" fillId="2" borderId="3" xfId="1" applyFont="1" applyFill="1" applyBorder="1" applyAlignment="1">
      <alignment horizontal="center" vertical="center" wrapText="1"/>
    </xf>
    <xf numFmtId="0" fontId="20" fillId="0" borderId="0" xfId="1" applyFont="1" applyAlignment="1">
      <alignment horizontal="center" vertical="center" wrapText="1"/>
    </xf>
    <xf numFmtId="0" fontId="21" fillId="0" borderId="0" xfId="5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0" fontId="17" fillId="0" borderId="1" xfId="0" applyFont="1" applyBorder="1" applyAlignment="1">
      <alignment horizontal="right" vertical="center" wrapText="1"/>
    </xf>
    <xf numFmtId="49" fontId="17" fillId="0" borderId="1" xfId="0" applyNumberFormat="1" applyFont="1" applyBorder="1" applyAlignment="1">
      <alignment horizontal="right" vertical="center" wrapText="1"/>
    </xf>
    <xf numFmtId="49" fontId="18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</cellXfs>
  <cellStyles count="10">
    <cellStyle name="Comma 2" xfId="2" xr:uid="{0CDFB73E-6589-485D-9459-6935B6FF7C37}"/>
    <cellStyle name="Comma 4" xfId="8" xr:uid="{2F17C9C4-6971-4A23-809F-44FF68301A7A}"/>
    <cellStyle name="Normal" xfId="0" builtinId="0"/>
    <cellStyle name="Normal 3 2" xfId="5" xr:uid="{D0BC611A-6522-4D2E-9892-4D3C8EA0FA1E}"/>
    <cellStyle name="Normal 4" xfId="1" xr:uid="{33E28D5D-BEEC-4173-ABA7-BF6ACFF348A9}"/>
    <cellStyle name="Normal 4 2" xfId="4" xr:uid="{BD0A95DA-C80A-4A6E-A67B-D252D71DDCF8}"/>
    <cellStyle name="Normal 7 2" xfId="3" xr:uid="{61B88970-4E82-4EF1-8254-A714E7B36E8E}"/>
    <cellStyle name="Normal_ChiTietNM0304" xfId="6" xr:uid="{C2217DAD-3F2D-43CB-80C4-AD8BE0A9D945}"/>
    <cellStyle name="Normal_Dichso" xfId="9" xr:uid="{FF0E191E-6405-4728-B92A-D9759ABEBC48}"/>
    <cellStyle name="Normal_DocSoUnicode" xfId="7" xr:uid="{A10F592E-3181-4D23-BD39-466D8ABC7787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85296"/>
      </a:hlink>
      <a:folHlink>
        <a:srgbClr val="99336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D5DB-2FC8-4CEE-8D1F-BB469F02849F}">
  <dimension ref="A1:A3"/>
  <sheetViews>
    <sheetView workbookViewId="0"/>
  </sheetViews>
  <sheetFormatPr baseColWidth="10" defaultColWidth="8.83203125" defaultRowHeight="15"/>
  <sheetData>
    <row r="1" spans="1:1">
      <c r="A1" s="1" t="s">
        <v>0</v>
      </c>
    </row>
    <row r="2" spans="1:1">
      <c r="A2" s="1" t="s">
        <v>1</v>
      </c>
    </row>
    <row r="3" spans="1:1">
      <c r="A3" s="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71B3-6E2D-404D-891E-D690B061B72A}">
  <dimension ref="A1:V29"/>
  <sheetViews>
    <sheetView tabSelected="1" workbookViewId="0">
      <selection activeCell="M13" sqref="M13"/>
    </sheetView>
  </sheetViews>
  <sheetFormatPr baseColWidth="10" defaultColWidth="9.1640625" defaultRowHeight="14"/>
  <cols>
    <col min="1" max="1" width="4.33203125" style="2" customWidth="1"/>
    <col min="2" max="2" width="15" style="9" bestFit="1" customWidth="1"/>
    <col min="3" max="3" width="20.1640625" style="2" customWidth="1"/>
    <col min="4" max="4" width="31.5" style="2" customWidth="1"/>
    <col min="5" max="5" width="22.83203125" style="2" customWidth="1"/>
    <col min="6" max="7" width="12.5" style="2" customWidth="1"/>
    <col min="8" max="8" width="10.6640625" style="2" customWidth="1"/>
    <col min="9" max="9" width="12.5" style="2" customWidth="1"/>
    <col min="10" max="10" width="19.83203125" style="2" customWidth="1"/>
    <col min="11" max="11" width="10.1640625" style="2" customWidth="1"/>
    <col min="12" max="12" width="14.5" style="2" customWidth="1"/>
    <col min="13" max="13" width="20.83203125" style="2" customWidth="1"/>
    <col min="14" max="14" width="15.5" style="2" customWidth="1"/>
    <col min="15" max="15" width="43.83203125" style="2" customWidth="1"/>
    <col min="16" max="16384" width="9.1640625" style="2"/>
  </cols>
  <sheetData>
    <row r="1" spans="1:19" s="3" customFormat="1" ht="16.5" customHeight="1">
      <c r="A1" s="65" t="s">
        <v>3</v>
      </c>
      <c r="B1" s="65"/>
      <c r="C1" s="65"/>
      <c r="D1" s="65"/>
      <c r="E1" s="65"/>
      <c r="F1" s="66"/>
      <c r="G1" s="66"/>
      <c r="H1" s="66"/>
      <c r="I1" s="66"/>
      <c r="J1" s="66"/>
      <c r="K1" s="66"/>
      <c r="L1" s="66"/>
      <c r="M1" s="66"/>
    </row>
    <row r="2" spans="1:19" s="3" customFormat="1" ht="16.5" customHeight="1">
      <c r="A2" s="66" t="s">
        <v>4</v>
      </c>
      <c r="B2" s="66"/>
      <c r="C2" s="66"/>
      <c r="D2" s="66"/>
      <c r="E2" s="66"/>
      <c r="F2" s="67"/>
      <c r="G2" s="67"/>
      <c r="H2" s="67"/>
      <c r="I2" s="67"/>
      <c r="J2" s="67"/>
      <c r="K2" s="67"/>
      <c r="L2" s="67"/>
      <c r="M2" s="67"/>
    </row>
    <row r="3" spans="1:19" s="3" customFormat="1" ht="16.5" customHeight="1">
      <c r="A3" s="65"/>
      <c r="B3" s="65"/>
      <c r="C3" s="65"/>
      <c r="D3" s="65"/>
      <c r="E3" s="65"/>
      <c r="F3" s="68"/>
      <c r="G3" s="68"/>
      <c r="H3" s="68"/>
      <c r="I3" s="68"/>
      <c r="J3" s="68"/>
      <c r="K3" s="68"/>
      <c r="L3" s="68"/>
      <c r="M3" s="68"/>
    </row>
    <row r="4" spans="1:19" s="4" customFormat="1" ht="20.25" customHeight="1">
      <c r="A4" s="58" t="s">
        <v>51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</row>
    <row r="5" spans="1:19" s="5" customFormat="1" ht="15" customHeight="1">
      <c r="A5" s="59" t="s">
        <v>50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10"/>
      <c r="O5" s="10"/>
      <c r="P5" s="10"/>
      <c r="Q5" s="10"/>
      <c r="R5" s="10"/>
      <c r="S5" s="10"/>
    </row>
    <row r="6" spans="1:19" ht="18.75" customHeight="1">
      <c r="A6" s="4"/>
      <c r="B6" s="11"/>
      <c r="C6" s="4"/>
      <c r="D6" s="4"/>
      <c r="E6" s="12"/>
      <c r="F6" s="4"/>
      <c r="G6" s="4"/>
      <c r="H6" s="4"/>
      <c r="I6" s="13"/>
    </row>
    <row r="7" spans="1:19" s="6" customFormat="1" ht="45">
      <c r="A7" s="43" t="s">
        <v>5</v>
      </c>
      <c r="B7" s="44" t="s">
        <v>6</v>
      </c>
      <c r="C7" s="43" t="s">
        <v>7</v>
      </c>
      <c r="D7" s="43" t="s">
        <v>8</v>
      </c>
      <c r="E7" s="44" t="s">
        <v>9</v>
      </c>
      <c r="F7" s="45" t="s">
        <v>10</v>
      </c>
      <c r="G7" s="45" t="s">
        <v>11</v>
      </c>
      <c r="H7" s="45" t="s">
        <v>12</v>
      </c>
      <c r="I7" s="43" t="s">
        <v>13</v>
      </c>
      <c r="J7" s="46" t="s">
        <v>14</v>
      </c>
      <c r="K7" s="46" t="s">
        <v>15</v>
      </c>
      <c r="L7" s="46" t="s">
        <v>16</v>
      </c>
      <c r="M7" s="46" t="s">
        <v>17</v>
      </c>
    </row>
    <row r="8" spans="1:19" s="6" customFormat="1" ht="51">
      <c r="A8" s="47">
        <f>ROWS($B$8:B8)</f>
        <v>1</v>
      </c>
      <c r="B8" s="48" t="s">
        <v>25</v>
      </c>
      <c r="C8" s="49" t="s">
        <v>24</v>
      </c>
      <c r="D8" s="50" t="s">
        <v>33</v>
      </c>
      <c r="E8" s="49" t="s">
        <v>26</v>
      </c>
      <c r="F8" s="51" t="s">
        <v>27</v>
      </c>
      <c r="G8" s="51" t="s">
        <v>28</v>
      </c>
      <c r="H8" s="52"/>
      <c r="I8" s="52" t="str">
        <f t="shared" ref="I8:I14" si="0">IFERROR(F8+G8-H8,"")</f>
        <v/>
      </c>
      <c r="J8" s="49" t="s">
        <v>29</v>
      </c>
      <c r="K8" s="48" t="s">
        <v>30</v>
      </c>
      <c r="L8" s="53" t="s">
        <v>31</v>
      </c>
      <c r="M8" s="48"/>
    </row>
    <row r="9" spans="1:19" s="6" customFormat="1" ht="34">
      <c r="A9" s="47">
        <v>2</v>
      </c>
      <c r="B9" s="48">
        <v>123456</v>
      </c>
      <c r="C9" s="49" t="s">
        <v>32</v>
      </c>
      <c r="D9" s="50" t="s">
        <v>37</v>
      </c>
      <c r="E9" s="49" t="s">
        <v>34</v>
      </c>
      <c r="F9" s="51">
        <v>1000000</v>
      </c>
      <c r="G9" s="51">
        <v>500000</v>
      </c>
      <c r="H9" s="52"/>
      <c r="I9" s="52">
        <f t="shared" si="0"/>
        <v>1500000</v>
      </c>
      <c r="J9" s="49" t="s">
        <v>35</v>
      </c>
      <c r="K9" s="48" t="s">
        <v>36</v>
      </c>
      <c r="L9" s="53" t="s">
        <v>38</v>
      </c>
      <c r="M9" s="48"/>
    </row>
    <row r="10" spans="1:19" s="6" customFormat="1" ht="34">
      <c r="A10" s="47">
        <v>3</v>
      </c>
      <c r="B10" s="48">
        <v>123457</v>
      </c>
      <c r="C10" s="49" t="s">
        <v>32</v>
      </c>
      <c r="D10" s="50" t="s">
        <v>40</v>
      </c>
      <c r="E10" s="49" t="s">
        <v>34</v>
      </c>
      <c r="F10" s="51">
        <v>1000000</v>
      </c>
      <c r="G10" s="51">
        <v>500000</v>
      </c>
      <c r="H10" s="52"/>
      <c r="I10" s="52">
        <f t="shared" ref="I10:I14" si="1">IFERROR(F10+G10-H10,"")</f>
        <v>1500000</v>
      </c>
      <c r="J10" s="49" t="s">
        <v>42</v>
      </c>
      <c r="K10" s="48" t="s">
        <v>41</v>
      </c>
      <c r="L10" s="53" t="s">
        <v>39</v>
      </c>
      <c r="M10" s="48"/>
    </row>
    <row r="11" spans="1:19" s="6" customFormat="1" ht="34">
      <c r="A11" s="47">
        <v>4</v>
      </c>
      <c r="B11" s="48">
        <v>123458</v>
      </c>
      <c r="C11" s="49" t="s">
        <v>32</v>
      </c>
      <c r="D11" s="50" t="s">
        <v>43</v>
      </c>
      <c r="E11" s="49" t="s">
        <v>34</v>
      </c>
      <c r="F11" s="51">
        <v>1500000</v>
      </c>
      <c r="G11" s="51">
        <v>1000000</v>
      </c>
      <c r="H11" s="52"/>
      <c r="I11" s="52">
        <f t="shared" si="1"/>
        <v>2500000</v>
      </c>
      <c r="J11" s="49" t="s">
        <v>42</v>
      </c>
      <c r="K11" s="48" t="s">
        <v>41</v>
      </c>
      <c r="L11" s="53" t="s">
        <v>45</v>
      </c>
      <c r="M11" s="48"/>
    </row>
    <row r="12" spans="1:19" s="6" customFormat="1" ht="34">
      <c r="A12" s="47">
        <v>5</v>
      </c>
      <c r="B12" s="48">
        <v>123459</v>
      </c>
      <c r="C12" s="49" t="s">
        <v>32</v>
      </c>
      <c r="D12" s="50" t="s">
        <v>44</v>
      </c>
      <c r="E12" s="49" t="s">
        <v>34</v>
      </c>
      <c r="F12" s="51">
        <v>1500000</v>
      </c>
      <c r="G12" s="51">
        <v>1000000</v>
      </c>
      <c r="H12" s="52"/>
      <c r="I12" s="52">
        <f t="shared" si="1"/>
        <v>2500000</v>
      </c>
      <c r="J12" s="49" t="s">
        <v>42</v>
      </c>
      <c r="K12" s="48" t="s">
        <v>41</v>
      </c>
      <c r="L12" s="53" t="s">
        <v>46</v>
      </c>
      <c r="M12" s="54"/>
    </row>
    <row r="13" spans="1:19" s="6" customFormat="1" ht="34">
      <c r="A13" s="47">
        <v>6</v>
      </c>
      <c r="B13" s="48">
        <v>123460</v>
      </c>
      <c r="C13" s="49" t="s">
        <v>32</v>
      </c>
      <c r="D13" s="50" t="s">
        <v>49</v>
      </c>
      <c r="E13" s="49" t="s">
        <v>34</v>
      </c>
      <c r="F13" s="51">
        <v>2500000</v>
      </c>
      <c r="G13" s="51">
        <v>1500000</v>
      </c>
      <c r="H13" s="52"/>
      <c r="I13" s="52">
        <f t="shared" si="1"/>
        <v>4000000</v>
      </c>
      <c r="J13" s="49" t="s">
        <v>35</v>
      </c>
      <c r="K13" s="48" t="s">
        <v>41</v>
      </c>
      <c r="L13" s="53" t="s">
        <v>47</v>
      </c>
      <c r="M13" s="55"/>
    </row>
    <row r="14" spans="1:19" s="6" customFormat="1" ht="34">
      <c r="A14" s="47">
        <v>7</v>
      </c>
      <c r="B14" s="48">
        <v>123461</v>
      </c>
      <c r="C14" s="49" t="s">
        <v>32</v>
      </c>
      <c r="D14" s="50" t="s">
        <v>48</v>
      </c>
      <c r="E14" s="49" t="s">
        <v>34</v>
      </c>
      <c r="F14" s="51">
        <v>2000000</v>
      </c>
      <c r="G14" s="51">
        <v>1500000</v>
      </c>
      <c r="H14" s="52"/>
      <c r="I14" s="52">
        <f t="shared" si="1"/>
        <v>3500000</v>
      </c>
      <c r="J14" s="49" t="s">
        <v>35</v>
      </c>
      <c r="K14" s="48" t="s">
        <v>36</v>
      </c>
      <c r="L14" s="53" t="s">
        <v>47</v>
      </c>
      <c r="M14" s="14"/>
    </row>
    <row r="15" spans="1:19" ht="15.75" customHeight="1">
      <c r="A15" s="60" t="s">
        <v>18</v>
      </c>
      <c r="B15" s="60"/>
      <c r="C15" s="60"/>
      <c r="D15" s="60"/>
      <c r="E15" s="60"/>
      <c r="F15" s="15">
        <f>SUM(F8:F14)</f>
        <v>9500000</v>
      </c>
      <c r="G15" s="15">
        <f>SUM(G8:G14)</f>
        <v>6000000</v>
      </c>
      <c r="H15" s="15">
        <f>SUM(H8:H14)</f>
        <v>0</v>
      </c>
      <c r="I15" s="15">
        <f>SUM(I8:I14)</f>
        <v>15500000</v>
      </c>
      <c r="J15" s="16"/>
      <c r="K15" s="16"/>
      <c r="L15" s="16"/>
      <c r="M15" s="16"/>
    </row>
    <row r="16" spans="1:19" ht="15.75" customHeight="1">
      <c r="A16" s="61" t="s">
        <v>19</v>
      </c>
      <c r="B16" s="61"/>
      <c r="C16" s="61"/>
      <c r="D16" s="61"/>
      <c r="E16" s="61"/>
      <c r="F16" s="62" t="s">
        <v>20</v>
      </c>
      <c r="G16" s="62"/>
      <c r="H16" s="62"/>
      <c r="I16" s="63"/>
      <c r="J16" s="63"/>
      <c r="K16" s="63"/>
      <c r="L16" s="63"/>
      <c r="M16" s="17"/>
    </row>
    <row r="17" spans="1:22" ht="18.75" customHeight="1">
      <c r="A17" s="4"/>
      <c r="B17" s="12"/>
      <c r="C17" s="4"/>
      <c r="D17" s="4"/>
      <c r="E17" s="4"/>
      <c r="F17" s="64"/>
      <c r="G17" s="64"/>
      <c r="H17" s="64"/>
      <c r="I17" s="64"/>
    </row>
    <row r="18" spans="1:22" s="7" customFormat="1" ht="18.75" customHeight="1">
      <c r="A18" s="18"/>
      <c r="B18" s="56" t="s">
        <v>21</v>
      </c>
      <c r="C18" s="56"/>
      <c r="D18" s="56"/>
      <c r="E18" s="57" t="s">
        <v>22</v>
      </c>
      <c r="F18" s="57"/>
      <c r="G18" s="57"/>
      <c r="H18" s="57"/>
      <c r="I18" s="57"/>
      <c r="J18" s="56" t="s">
        <v>23</v>
      </c>
      <c r="K18" s="56"/>
      <c r="L18" s="56"/>
      <c r="M18" s="56"/>
      <c r="N18" s="19"/>
      <c r="O18" s="19"/>
    </row>
    <row r="23" spans="1:22" s="8" customFormat="1" ht="15.75" hidden="1" customHeight="1">
      <c r="A23" s="20">
        <f>I15</f>
        <v>15500000</v>
      </c>
      <c r="B23" s="21" t="str">
        <f>RIGHT("000000000000"&amp;ROUND(A23,0),12)</f>
        <v>000015500000</v>
      </c>
      <c r="C23" s="22">
        <v>1</v>
      </c>
      <c r="D23" s="22">
        <v>2</v>
      </c>
      <c r="E23" s="22">
        <v>3</v>
      </c>
      <c r="F23" s="23">
        <v>5</v>
      </c>
      <c r="G23" s="23"/>
      <c r="H23" s="23"/>
      <c r="I23" s="23">
        <v>6</v>
      </c>
      <c r="J23" s="24">
        <v>7</v>
      </c>
      <c r="K23" s="24"/>
      <c r="L23" s="24"/>
      <c r="M23" s="24">
        <v>8</v>
      </c>
      <c r="N23" s="24">
        <v>9</v>
      </c>
      <c r="O23" s="25">
        <v>10</v>
      </c>
      <c r="P23" s="25">
        <v>11</v>
      </c>
      <c r="Q23" s="25"/>
      <c r="T23" s="26"/>
      <c r="U23" s="26"/>
      <c r="V23" s="26"/>
    </row>
    <row r="24" spans="1:22" s="8" customFormat="1" ht="15.75" hidden="1" customHeight="1">
      <c r="A24" s="27"/>
      <c r="B24" s="28"/>
      <c r="C24" s="29">
        <f>VALUE(MID(B23,C23,1))</f>
        <v>0</v>
      </c>
      <c r="D24" s="29">
        <f>VALUE(MID(B23,D23,1))</f>
        <v>0</v>
      </c>
      <c r="E24" s="29">
        <f>VALUE(MID(B23,E23,1))</f>
        <v>0</v>
      </c>
      <c r="F24" s="30">
        <f>VALUE(MID(B23,F23,1))</f>
        <v>1</v>
      </c>
      <c r="G24" s="30"/>
      <c r="H24" s="30"/>
      <c r="I24" s="30">
        <f>VALUE(MID(B23,I23,1))</f>
        <v>5</v>
      </c>
      <c r="J24" s="31">
        <f>VALUE(MID(B23,J23,1))</f>
        <v>5</v>
      </c>
      <c r="K24" s="31"/>
      <c r="L24" s="31"/>
      <c r="M24" s="31">
        <f>VALUE(MID(B23,M23,1))</f>
        <v>0</v>
      </c>
      <c r="N24" s="31">
        <f>VALUE(MID(B23,N23,1))</f>
        <v>0</v>
      </c>
      <c r="O24" s="32">
        <f>VALUE(MID(B23,O23,1))</f>
        <v>0</v>
      </c>
      <c r="P24" s="32">
        <f>VALUE(MID(B23,P23,1))</f>
        <v>0</v>
      </c>
      <c r="Q24" s="32"/>
      <c r="T24" s="26"/>
      <c r="U24" s="26"/>
      <c r="V24" s="26"/>
    </row>
    <row r="25" spans="1:22" s="8" customFormat="1" ht="15.75" hidden="1" customHeight="1">
      <c r="A25" s="27"/>
      <c r="B25" s="28"/>
      <c r="C25" s="29">
        <f>SUM(C24:C24)</f>
        <v>0</v>
      </c>
      <c r="D25" s="29">
        <f>SUM(C24:D24)</f>
        <v>0</v>
      </c>
      <c r="E25" s="29">
        <f>SUM(C24:E24)</f>
        <v>0</v>
      </c>
      <c r="F25" s="30">
        <f>SUM(F24:F24)</f>
        <v>1</v>
      </c>
      <c r="G25" s="30"/>
      <c r="H25" s="30"/>
      <c r="I25" s="30">
        <f>SUM(F24:I24)</f>
        <v>6</v>
      </c>
      <c r="J25" s="31">
        <f>SUM(J24:J24)</f>
        <v>5</v>
      </c>
      <c r="K25" s="31"/>
      <c r="L25" s="31"/>
      <c r="M25" s="31">
        <f>SUM(J24:M24)</f>
        <v>5</v>
      </c>
      <c r="N25" s="31">
        <f>SUM(J24:N24)</f>
        <v>5</v>
      </c>
      <c r="O25" s="32">
        <f>SUM(O24:O24)</f>
        <v>0</v>
      </c>
      <c r="P25" s="32">
        <f>SUM(O24:P24)</f>
        <v>0</v>
      </c>
      <c r="Q25" s="32"/>
      <c r="T25" s="26"/>
      <c r="U25" s="26"/>
      <c r="V25" s="26"/>
    </row>
    <row r="26" spans="1:22" s="8" customFormat="1" ht="15.75" hidden="1" customHeight="1">
      <c r="A26" s="27"/>
      <c r="B26" s="28"/>
      <c r="C26" s="33" t="str">
        <f>IF(C24=0,"",CHOOSE(C24,"một","hai","ba","bốn","năm","sáu","bảy","tám","chín"))</f>
        <v/>
      </c>
      <c r="D26" s="33" t="str">
        <f>IF(D24=0,IF(AND(C24&lt;&gt;0,E24&lt;&gt;0),"lẻ",""),CHOOSE(D24,"mười","hai","ba","bốn","năm","sáu","bảy","tám","chín"))</f>
        <v/>
      </c>
      <c r="E26" s="33" t="str">
        <f>IF(E24=0,"",CHOOSE(E24,IF(D24&gt;1,"mốt","một"),"hai","ba","bốn",IF(D24=0,"năm","lăm"),"sáu","bảy","tám","chín"))</f>
        <v/>
      </c>
      <c r="F26" s="34" t="str">
        <f>IF(F24=0,IF(AND(#REF!&lt;&gt;0,I24&lt;&gt;0),"lẻ",""),CHOOSE(F24,"mười","hai","ba","bốn","năm","sáu","bảy","tám","chín"))</f>
        <v>mười</v>
      </c>
      <c r="G26" s="34"/>
      <c r="H26" s="34"/>
      <c r="I26" s="34" t="str">
        <f>IF(I24=0,"",CHOOSE(I24,IF(F24&gt;1,"mốt","một"),"hai","ba","bốn",IF(F24=0,"năm","lăm"),"sáu","bảy","tám","chín"))</f>
        <v>lăm</v>
      </c>
      <c r="J26" s="35" t="str">
        <f>IF(J24=0,"",CHOOSE(J24,"một","hai","ba","bốn","năm","sáu","bảy","tám","chín"))</f>
        <v>năm</v>
      </c>
      <c r="K26" s="35"/>
      <c r="L26" s="35"/>
      <c r="M26" s="35" t="str">
        <f>IF(M24=0,IF(AND(J24&lt;&gt;0,N24&lt;&gt;0),"lẻ",""),CHOOSE(M24,"mười","hai","ba","bốn","năm","sáu","bảy","tám","chín"))</f>
        <v/>
      </c>
      <c r="N26" s="35" t="str">
        <f>IF(N24=0,"",CHOOSE(N24,IF(M24&gt;1,"mốt","một"),"hai","ba","bốn",IF(M24=0,"năm","lăm"),"sáu","bảy","tám","chín"))</f>
        <v/>
      </c>
      <c r="O26" s="36" t="str">
        <f>IF(O24=0,"",CHOOSE(O24,"một","hai","ba","bốn","năm","sáu","bảy","tám","chín"))</f>
        <v/>
      </c>
      <c r="P26" s="36" t="str">
        <f>IF(P24=0,IF(AND(O24&lt;&gt;0,Q24&lt;&gt;0),"lẻ",""),CHOOSE(P24,"mười","hai","ba","bốn","năm","sáu","bảy","tám","chín"))</f>
        <v/>
      </c>
      <c r="Q26" s="36"/>
      <c r="T26" s="26"/>
      <c r="U26" s="26"/>
      <c r="V26" s="26"/>
    </row>
    <row r="27" spans="1:22" s="8" customFormat="1" ht="15.75" hidden="1" customHeight="1">
      <c r="A27" s="27"/>
      <c r="B27" s="28"/>
      <c r="C27" s="37" t="str">
        <f>IF(C24=0,"","trăm")</f>
        <v/>
      </c>
      <c r="D27" s="37" t="str">
        <f>IF(D24=0,"",IF(D24=1,"","mươi"))</f>
        <v/>
      </c>
      <c r="E27" s="37" t="str">
        <f>IF(AND(E24=0,E25=0),"","tỷ")</f>
        <v/>
      </c>
      <c r="F27" s="38" t="str">
        <f>IF(F24=0,"",IF(F24=1,"","mươi"))</f>
        <v/>
      </c>
      <c r="G27" s="38"/>
      <c r="H27" s="38"/>
      <c r="I27" s="38" t="str">
        <f>IF(AND(I24=0,I25=0),"","triệu")</f>
        <v>triệu</v>
      </c>
      <c r="J27" s="39" t="str">
        <f>IF(J24=0,"","trăm")</f>
        <v>trăm</v>
      </c>
      <c r="K27" s="39"/>
      <c r="L27" s="39"/>
      <c r="M27" s="39" t="str">
        <f>IF(M24=0,"",IF(M24=1,"","mươi"))</f>
        <v/>
      </c>
      <c r="N27" s="39" t="str">
        <f>IF(AND(N24=0,N25=0),"","ngàn")</f>
        <v>ngàn</v>
      </c>
      <c r="O27" s="40" t="str">
        <f>IF(O24=0,"","trăm")</f>
        <v/>
      </c>
      <c r="P27" s="40" t="str">
        <f>IF(P24=0,"",IF(P24=1,"","mươi"))</f>
        <v/>
      </c>
      <c r="Q27" s="40"/>
      <c r="T27" s="26"/>
      <c r="U27" s="26"/>
      <c r="V27" s="26"/>
    </row>
    <row r="28" spans="1:22" s="8" customFormat="1" ht="15.75" hidden="1" customHeight="1">
      <c r="A28" s="27"/>
      <c r="B28" s="41" t="e">
        <f>UPPER(LEFT(TRIM(IF(A23=0,"không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"&amp;Q27)),1))&amp;RIGHT(TRIM(IF(A23=0,"không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"&amp;Q27)),LEN(TRIM(IF(A23=0,"không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"&amp;Q27)))-1)</f>
        <v>#REF!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T28" s="26"/>
      <c r="U28" s="26"/>
      <c r="V28" s="26"/>
    </row>
    <row r="29" spans="1:22" ht="15.75" customHeight="1">
      <c r="B29" s="41"/>
    </row>
  </sheetData>
  <mergeCells count="15">
    <mergeCell ref="A1:E1"/>
    <mergeCell ref="F1:M1"/>
    <mergeCell ref="A2:E2"/>
    <mergeCell ref="F2:M2"/>
    <mergeCell ref="A3:E3"/>
    <mergeCell ref="F3:M3"/>
    <mergeCell ref="B18:D18"/>
    <mergeCell ref="E18:I18"/>
    <mergeCell ref="J18:M18"/>
    <mergeCell ref="A4:M4"/>
    <mergeCell ref="A5:M5"/>
    <mergeCell ref="A15:E15"/>
    <mergeCell ref="A16:E16"/>
    <mergeCell ref="F16:L16"/>
    <mergeCell ref="F17:I17"/>
  </mergeCells>
  <phoneticPr fontId="2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 - PL in cho ký nhận (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Huynx10</dc:creator>
  <cp:keywords/>
  <dc:description/>
  <cp:lastModifiedBy>Nguyễn Xuân Huy</cp:lastModifiedBy>
  <cp:revision/>
  <dcterms:created xsi:type="dcterms:W3CDTF">2006-09-16T00:00:00Z</dcterms:created>
  <dcterms:modified xsi:type="dcterms:W3CDTF">2026-06-29T06:45:54Z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2026-06-16T01:45:21Z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f380bf27-17b2-4901-8f9f-84d2dd0410ee</vt:lpwstr>
  </property>
  <property fmtid="{D5CDD505-2E9C-101B-9397-08002B2CF9AE}" pid="7" name="MSIP_Label_defa4170-0d19-0005-0004-bc88714345d2_ActionId">
    <vt:lpwstr>b764c544-bb42-42c9-89fc-a3c573f9be02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