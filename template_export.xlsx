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huynx268/Downloads/"/>
    </mc:Choice>
  </mc:AlternateContent>
  <xr:revisionPtr revIDLastSave="0" documentId="8_{B9B72198-12F8-F94C-9BAE-6F82787D5850}" xr6:coauthVersionLast="47" xr6:coauthVersionMax="47" xr10:uidLastSave="{00000000-0000-0000-0000-000000000000}"/>
  <bookViews>
    <workbookView xWindow="0" yWindow="600" windowWidth="29040" windowHeight="16440" firstSheet="2" activeTab="3" xr2:uid="{00000000-000D-0000-FFFF-FFFF00000000}"/>
  </bookViews>
  <sheets>
    <sheet name="_56F9DC9755BA473782653E2940F9" sheetId="2" state="veryHidden" r:id="rId1"/>
    <sheet name="Danh sách khối 3" sheetId="6" r:id="rId2"/>
    <sheet name="Danh sách yêu cầu thanh toán" sheetId="3" r:id="rId3"/>
    <sheet name="CD - PL in cho ký nhận" sheetId="4" r:id="rId4"/>
  </sheets>
  <definedNames>
    <definedName name="_56F9DC9755BA473782653E2940F9FormId">"V6Pjw_ttoUmOduXsd8ZfwTMuH55bJJ5DuWEHs2W93ZZUNE1RQzRLSURHTVRORFlNVjEwS1I5TktLVi4u"</definedName>
    <definedName name="_56F9DC9755BA473782653E2940F9ResponseSheet">"Form1"</definedName>
    <definedName name="_56F9DC9755BA473782653E2940F9SourceDocId">"{5996ccd8-9206-40fc-b022-c89f400779c7}"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H12" i="4"/>
  <c r="D10" i="4"/>
  <c r="K11" i="4"/>
  <c r="K10" i="4"/>
  <c r="K9" i="4"/>
  <c r="K8" i="4"/>
  <c r="L9" i="4"/>
  <c r="L10" i="4"/>
  <c r="L11" i="4"/>
  <c r="L8" i="4"/>
  <c r="J8" i="4"/>
  <c r="J9" i="4"/>
  <c r="J11" i="4"/>
  <c r="J10" i="4"/>
  <c r="C9" i="4"/>
  <c r="D9" i="4" s="1"/>
  <c r="E9" i="4"/>
  <c r="F9" i="4"/>
  <c r="G9" i="4"/>
  <c r="I9" i="4"/>
  <c r="F10" i="4"/>
  <c r="G10" i="4"/>
  <c r="I10" i="4"/>
  <c r="C11" i="4"/>
  <c r="D11" i="4" s="1"/>
  <c r="E11" i="4"/>
  <c r="F11" i="4"/>
  <c r="G11" i="4"/>
  <c r="I11" i="4"/>
  <c r="A5" i="4"/>
  <c r="A4" i="4"/>
  <c r="A11" i="4"/>
  <c r="A8" i="4"/>
  <c r="A9" i="4"/>
  <c r="A10" i="4"/>
  <c r="F8" i="4" l="1"/>
  <c r="F12" i="4" s="1"/>
  <c r="G8" i="4"/>
  <c r="G12" i="4" s="1"/>
  <c r="D8" i="4"/>
  <c r="E8" i="4"/>
  <c r="I8" i="4" l="1"/>
  <c r="I12" i="4" s="1"/>
  <c r="A20" i="4" l="1"/>
  <c r="B20" i="4" s="1"/>
  <c r="C21" i="4" s="1"/>
  <c r="I21" i="4" l="1"/>
  <c r="J21" i="4"/>
  <c r="J24" i="4" s="1"/>
  <c r="P21" i="4"/>
  <c r="P24" i="4" s="1"/>
  <c r="F21" i="4"/>
  <c r="F24" i="4" s="1"/>
  <c r="O21" i="4"/>
  <c r="O23" i="4" s="1"/>
  <c r="E21" i="4"/>
  <c r="E23" i="4" s="1"/>
  <c r="N21" i="4"/>
  <c r="N23" i="4" s="1"/>
  <c r="D21" i="4"/>
  <c r="D22" i="4" s="1"/>
  <c r="M21" i="4"/>
  <c r="M24" i="4" s="1"/>
  <c r="C22" i="4"/>
  <c r="C23" i="4"/>
  <c r="C24" i="4"/>
  <c r="F22" i="4" l="1"/>
  <c r="J23" i="4"/>
  <c r="M22" i="4"/>
  <c r="J22" i="4"/>
  <c r="D24" i="4"/>
  <c r="E22" i="4"/>
  <c r="E24" i="4" s="1"/>
  <c r="D23" i="4"/>
  <c r="M23" i="4"/>
  <c r="N22" i="4"/>
  <c r="N24" i="4" s="1"/>
  <c r="P23" i="4"/>
  <c r="F23" i="4"/>
  <c r="P22" i="4"/>
  <c r="I23" i="4"/>
  <c r="I22" i="4"/>
  <c r="I24" i="4" s="1"/>
  <c r="O22" i="4"/>
  <c r="O24" i="4"/>
  <c r="B25" i="4" l="1"/>
</calcChain>
</file>

<file path=xl/sharedStrings.xml><?xml version="1.0" encoding="utf-8"?>
<sst xmlns="http://schemas.openxmlformats.org/spreadsheetml/2006/main" count="1429" uniqueCount="529">
  <si>
    <t>V6Pjw_ttoUmOduXsd8ZfwTMuH55bJJ5DuWEHs2W93ZZUNE1RQzRLSURHTVRORFlNVjEwS1I5TktLVi4u</t>
  </si>
  <si>
    <t>Form1</t>
  </si>
  <si>
    <t>{5996ccd8-9206-40fc-b022-c89f400779c7}</t>
  </si>
  <si>
    <t>STT</t>
  </si>
  <si>
    <t>MNV</t>
  </si>
  <si>
    <t>Họ tên</t>
  </si>
  <si>
    <t>Ngày sinh</t>
  </si>
  <si>
    <t>Tháng sinh</t>
  </si>
  <si>
    <t>Đơn vị cấp 4</t>
  </si>
  <si>
    <t>Đơn vị cấp 5</t>
  </si>
  <si>
    <t>Đơn vị cấp 6</t>
  </si>
  <si>
    <t>Chức danh</t>
  </si>
  <si>
    <t>Diện đối tượng</t>
  </si>
  <si>
    <t>Ngày vào tập đoàn</t>
  </si>
  <si>
    <t>Vị trí</t>
  </si>
  <si>
    <t>116188</t>
  </si>
  <si>
    <t>Khương Duy</t>
  </si>
  <si>
    <t>Khối 3 - TCT CNC</t>
  </si>
  <si>
    <t>Ban Giám đốc</t>
  </si>
  <si>
    <t>Thủ trưởng đơn vị</t>
  </si>
  <si>
    <t>Phó Giám đốc Khối</t>
  </si>
  <si>
    <t>Sỹ quan</t>
  </si>
  <si>
    <t>009646</t>
  </si>
  <si>
    <t>Phạm Duy Lập</t>
  </si>
  <si>
    <t>448235</t>
  </si>
  <si>
    <t>Nguyễn Đình Minh</t>
  </si>
  <si>
    <t>Phòng Kinh doanh</t>
  </si>
  <si>
    <t>Trợ lý nghiệp vụ</t>
  </si>
  <si>
    <t>Nhân viên kinh doanh</t>
  </si>
  <si>
    <t>Hợp đồng lao động</t>
  </si>
  <si>
    <t>276311</t>
  </si>
  <si>
    <t>Trần Quốc Dũng</t>
  </si>
  <si>
    <t>435196</t>
  </si>
  <si>
    <t>Lâm Phương Anh</t>
  </si>
  <si>
    <t>Nhân viên Marketing</t>
  </si>
  <si>
    <t>427204</t>
  </si>
  <si>
    <t>Nguyễn Thị Phương Anh</t>
  </si>
  <si>
    <t>242809</t>
  </si>
  <si>
    <t>Nguyễn Phú Hoàng Hà</t>
  </si>
  <si>
    <t>Chuyên viên kinh doanh</t>
  </si>
  <si>
    <t>196336</t>
  </si>
  <si>
    <t>Dương Thúy Hằng</t>
  </si>
  <si>
    <t>Nhân viên Kinh doanh</t>
  </si>
  <si>
    <t>435960</t>
  </si>
  <si>
    <t>Lê Khánh Ly</t>
  </si>
  <si>
    <t>007589</t>
  </si>
  <si>
    <t>Phạm Minh Nghĩa</t>
  </si>
  <si>
    <t>Lãnh đạo phòng</t>
  </si>
  <si>
    <t>Phó phòng Kinh doanh</t>
  </si>
  <si>
    <t>Quân nhân chuyên nghiệp</t>
  </si>
  <si>
    <t>209509</t>
  </si>
  <si>
    <t>Nguyễn Thị Mai Anh</t>
  </si>
  <si>
    <t>452469</t>
  </si>
  <si>
    <t>Nguyễn Thị Thu Hiền</t>
  </si>
  <si>
    <t>Phòng Quản lý chất lượng</t>
  </si>
  <si>
    <t>Bộ phận Kiểm soát chất lượng</t>
  </si>
  <si>
    <t>Kỹ sư Kiểm định phần mềm</t>
  </si>
  <si>
    <t>243025</t>
  </si>
  <si>
    <t>Ngô Thị Yến Linh</t>
  </si>
  <si>
    <t>HCM</t>
  </si>
  <si>
    <t>196208</t>
  </si>
  <si>
    <t>Phí Thị Thu Giang</t>
  </si>
  <si>
    <t>Kỹ sư kiểm định phần mềm</t>
  </si>
  <si>
    <t>440214</t>
  </si>
  <si>
    <t>Nguyễn Thị Lan Anh</t>
  </si>
  <si>
    <t>232734</t>
  </si>
  <si>
    <t>Chu Thị Ánh Hồng</t>
  </si>
  <si>
    <t>267488</t>
  </si>
  <si>
    <t>Phạm Thị Phương Ngân</t>
  </si>
  <si>
    <t>Bộ phận Đảm bảo chất lượng</t>
  </si>
  <si>
    <t>Kỹ sư Đảm bảo chất lượng</t>
  </si>
  <si>
    <t>271575</t>
  </si>
  <si>
    <t>Lê Thị Lan Hương</t>
  </si>
  <si>
    <t>176573</t>
  </si>
  <si>
    <t>Diệp Thị Tư</t>
  </si>
  <si>
    <t>Phó phòng Quản lý chất lượng</t>
  </si>
  <si>
    <t>273678</t>
  </si>
  <si>
    <t>Hoàng Thị Quỳnh</t>
  </si>
  <si>
    <t>204893</t>
  </si>
  <si>
    <t>Nguyễn Ngọc Mai Ngân</t>
  </si>
  <si>
    <t>Phòng Tổng hợp</t>
  </si>
  <si>
    <t>Bộ phận Quản lý dự án</t>
  </si>
  <si>
    <t>Nhân viên Quản lý Dự án</t>
  </si>
  <si>
    <t>273438</t>
  </si>
  <si>
    <t>Nguyễn Thị Hạnh Linh</t>
  </si>
  <si>
    <t>011034</t>
  </si>
  <si>
    <t>Nguyễn Thị Luyện</t>
  </si>
  <si>
    <t>241353</t>
  </si>
  <si>
    <t>Lê Văn Bằng</t>
  </si>
  <si>
    <t>Trợ lý Kế hoạch tổng hợp</t>
  </si>
  <si>
    <t>204328</t>
  </si>
  <si>
    <t>Nguyễn Thị Hòa</t>
  </si>
  <si>
    <t>185577</t>
  </si>
  <si>
    <t>Nguyễn Thị Nhân</t>
  </si>
  <si>
    <t>Bộ phận Văn phòng</t>
  </si>
  <si>
    <t>Nhân viên Hành chính Tổng hợp</t>
  </si>
  <si>
    <t>047512</t>
  </si>
  <si>
    <t>Trần Nguyễn Dũng</t>
  </si>
  <si>
    <t>Nhân viên Kế hoạch Tổng hợp</t>
  </si>
  <si>
    <t>Công nhân viên chức quốc phòng</t>
  </si>
  <si>
    <t>221339</t>
  </si>
  <si>
    <t>Dương Hải Vũ</t>
  </si>
  <si>
    <t>Trưởng phòng Tổng hợp</t>
  </si>
  <si>
    <t>249089</t>
  </si>
  <si>
    <t>Nguyễn Thị Hương</t>
  </si>
  <si>
    <t>292553</t>
  </si>
  <si>
    <t>Phạm Thị Thu Trang</t>
  </si>
  <si>
    <t>Trung tâm Camera</t>
  </si>
  <si>
    <t>Bộ phận nghiên cứu</t>
  </si>
  <si>
    <t>Kỹ sư Trí tuệ nhân tạo</t>
  </si>
  <si>
    <t>430886</t>
  </si>
  <si>
    <t>Phan Anh Chiến</t>
  </si>
  <si>
    <t>193281</t>
  </si>
  <si>
    <t>Trương Huy Hoàng</t>
  </si>
  <si>
    <t>Chủ nhiệm đề tài</t>
  </si>
  <si>
    <t>156893</t>
  </si>
  <si>
    <t>Nguyễn Bá Tân</t>
  </si>
  <si>
    <t>Kỹ sư trưởng Công nghệ</t>
  </si>
  <si>
    <t>443625</t>
  </si>
  <si>
    <t>Phạm Duy Giác Nguyên</t>
  </si>
  <si>
    <t>441579</t>
  </si>
  <si>
    <t>Nguyễn Thị Trang</t>
  </si>
  <si>
    <t>454893</t>
  </si>
  <si>
    <t>Nguyễn Tống Minh</t>
  </si>
  <si>
    <t>Hợp đồng tập nghề</t>
  </si>
  <si>
    <t>439614</t>
  </si>
  <si>
    <t>Nguyễn Huy Đức</t>
  </si>
  <si>
    <t>Kỹ sư Lập trình nhúng</t>
  </si>
  <si>
    <t>238618</t>
  </si>
  <si>
    <t>Lê Thanh Tùng</t>
  </si>
  <si>
    <t>Kỹ sư Phát triển phần mềm nhúng</t>
  </si>
  <si>
    <t>240799</t>
  </si>
  <si>
    <t>Đặng Thanh Tùng</t>
  </si>
  <si>
    <t>Kỹ sư Phát triển phần mềm</t>
  </si>
  <si>
    <t>441296</t>
  </si>
  <si>
    <t>Nguyễn Trung Trí</t>
  </si>
  <si>
    <t>454503</t>
  </si>
  <si>
    <t>Đỗ Kim Hoàn</t>
  </si>
  <si>
    <t>455281</t>
  </si>
  <si>
    <t>Bạch Ngọc Minh Châu</t>
  </si>
  <si>
    <t>Hợp đồng thử việc</t>
  </si>
  <si>
    <t>284107</t>
  </si>
  <si>
    <t>Phạm Cao Bằng</t>
  </si>
  <si>
    <t>444585</t>
  </si>
  <si>
    <t>Nguyễn Trung Phong</t>
  </si>
  <si>
    <t>131748</t>
  </si>
  <si>
    <t>Phạm Trung Kiên</t>
  </si>
  <si>
    <t>Kỹ sư chính Phát triển phần mềm</t>
  </si>
  <si>
    <t>251735</t>
  </si>
  <si>
    <t>Tạ Văn Toàn</t>
  </si>
  <si>
    <t>270529</t>
  </si>
  <si>
    <t>Nguyễn Minh Đức</t>
  </si>
  <si>
    <t>233488</t>
  </si>
  <si>
    <t>Lữ Mạnh Hùng</t>
  </si>
  <si>
    <t>218373</t>
  </si>
  <si>
    <t>Trần Minh Lợi</t>
  </si>
  <si>
    <t>272791</t>
  </si>
  <si>
    <t>Nguyễn Võ Thái Triều</t>
  </si>
  <si>
    <t>nghỉ tạm hoãn hợp đồng</t>
  </si>
  <si>
    <t>443009</t>
  </si>
  <si>
    <t>Nguyễn Cao Lương</t>
  </si>
  <si>
    <t>449457</t>
  </si>
  <si>
    <t>Đào Hoàng Long</t>
  </si>
  <si>
    <t>208740</t>
  </si>
  <si>
    <t>Nguyễn Minh Khánh Ngọc</t>
  </si>
  <si>
    <t>433066</t>
  </si>
  <si>
    <t>Phạm Ngọc Thiện</t>
  </si>
  <si>
    <t>439435</t>
  </si>
  <si>
    <t>Lưu Gia Thiện</t>
  </si>
  <si>
    <t>Kỹ sư Xử lý tín hiệu</t>
  </si>
  <si>
    <t>280648</t>
  </si>
  <si>
    <t>Hoàng Mỹ Linh</t>
  </si>
  <si>
    <t>245786</t>
  </si>
  <si>
    <t>Nguyễn Văn Sơn</t>
  </si>
  <si>
    <t>Kỹ sư phát triển phần mềm</t>
  </si>
  <si>
    <t>439034</t>
  </si>
  <si>
    <t>Phùng Mạnh Dũng</t>
  </si>
  <si>
    <t>198507</t>
  </si>
  <si>
    <t>Đinh Văn Phong</t>
  </si>
  <si>
    <t>442673</t>
  </si>
  <si>
    <t>Hồ Đặng Thanh Hồ</t>
  </si>
  <si>
    <t>452467</t>
  </si>
  <si>
    <t>Đào Mai Ngọc</t>
  </si>
  <si>
    <t>Kỹ sư phân tích nghiệp vụ</t>
  </si>
  <si>
    <t>206376</t>
  </si>
  <si>
    <t>Phan Anh Hoàng</t>
  </si>
  <si>
    <t>Kỹ sư chính xử lý tín hiệu</t>
  </si>
  <si>
    <t>439615</t>
  </si>
  <si>
    <t>Trần Duy Đạt</t>
  </si>
  <si>
    <t>265886</t>
  </si>
  <si>
    <t>Bùi Trọng Đạt</t>
  </si>
  <si>
    <t>447341</t>
  </si>
  <si>
    <t>Nguyễn Nhật Anh</t>
  </si>
  <si>
    <t>205102</t>
  </si>
  <si>
    <t>Bùi Bình Giang</t>
  </si>
  <si>
    <t>208742</t>
  </si>
  <si>
    <t>Nguyễn Tuấn Phước</t>
  </si>
  <si>
    <t>059037</t>
  </si>
  <si>
    <t>Văn Tuấn Cường</t>
  </si>
  <si>
    <t>173314</t>
  </si>
  <si>
    <t>Nguyễn Thanh Minh</t>
  </si>
  <si>
    <t>428874</t>
  </si>
  <si>
    <t>Lê Công Minh</t>
  </si>
  <si>
    <t>Kỹ sư Trí tuệ Nhân tạo</t>
  </si>
  <si>
    <t>262428</t>
  </si>
  <si>
    <t>Nguyễn Hoàng Nam</t>
  </si>
  <si>
    <t>Kỹ sư Giải pháp công nghệ</t>
  </si>
  <si>
    <t>204015</t>
  </si>
  <si>
    <t>Nguyễn Duy Phương</t>
  </si>
  <si>
    <t>439963</t>
  </si>
  <si>
    <t>Đoàn Ngô Đức Phương</t>
  </si>
  <si>
    <t>227546</t>
  </si>
  <si>
    <t>Vũ Duy Nhất</t>
  </si>
  <si>
    <t>454889</t>
  </si>
  <si>
    <t>Lê Thanh Phương</t>
  </si>
  <si>
    <t>125508</t>
  </si>
  <si>
    <t>Vũ Đức Chính</t>
  </si>
  <si>
    <t>Phó Giám đốc Trung tâm</t>
  </si>
  <si>
    <t>011350</t>
  </si>
  <si>
    <t>Nguyễn Hoàng Long</t>
  </si>
  <si>
    <t>Quyền Giám đốc Trung tâm</t>
  </si>
  <si>
    <t>432901</t>
  </si>
  <si>
    <t>Nguyễn Thị Thùy</t>
  </si>
  <si>
    <t>056954</t>
  </si>
  <si>
    <t>Nguyễn Mạnh Hùng</t>
  </si>
  <si>
    <t>Phòng Quản lý sản xuất</t>
  </si>
  <si>
    <t>Kỹ sư Quản lý tích hợp và thử nghiệm</t>
  </si>
  <si>
    <t>199099</t>
  </si>
  <si>
    <t>Phạm Thanh Tuấn</t>
  </si>
  <si>
    <t>Kỹ sư Quản lý sản xuất</t>
  </si>
  <si>
    <t>266740</t>
  </si>
  <si>
    <t>Đinh Văn Duy</t>
  </si>
  <si>
    <t>427540</t>
  </si>
  <si>
    <t>Đỗ Hồng Sơn</t>
  </si>
  <si>
    <t>Kỹ sư Kỹ thuật sản xuất</t>
  </si>
  <si>
    <t>431864</t>
  </si>
  <si>
    <t>Phan Thị Hồng Linh</t>
  </si>
  <si>
    <t>Kỹ sư linh kiện</t>
  </si>
  <si>
    <t>079720</t>
  </si>
  <si>
    <t>Nguyễn Minh Tùng</t>
  </si>
  <si>
    <t>Phòng Thiết kế phần cứng</t>
  </si>
  <si>
    <t>Trưởng phòng Thiết kế phần cứng</t>
  </si>
  <si>
    <t>218374</t>
  </si>
  <si>
    <t>Ngô Thị Đoan Trang</t>
  </si>
  <si>
    <t>242065</t>
  </si>
  <si>
    <t>Lê Nguyễn Thanh Tùng</t>
  </si>
  <si>
    <t>Kỹ sư Thiết kế phần cứng</t>
  </si>
  <si>
    <t>235018</t>
  </si>
  <si>
    <t>Nguyễn Thế Toàn</t>
  </si>
  <si>
    <t>174234</t>
  </si>
  <si>
    <t>Nguyễn Quốc Chung</t>
  </si>
  <si>
    <t>448217</t>
  </si>
  <si>
    <t>Lê Nam Khánh</t>
  </si>
  <si>
    <t>200814</t>
  </si>
  <si>
    <t>Nguyễn Trần Tiến</t>
  </si>
  <si>
    <t>144034</t>
  </si>
  <si>
    <t>Nguyễn Vũ Lâm</t>
  </si>
  <si>
    <t>079711</t>
  </si>
  <si>
    <t>Đỗ Thị Ngọc Tuyền</t>
  </si>
  <si>
    <t>088320</t>
  </si>
  <si>
    <t>Nguyễn Tiến Tùng</t>
  </si>
  <si>
    <t>Phòng Cơ khí</t>
  </si>
  <si>
    <t>Kỹ sư Thiết kế cơ khí</t>
  </si>
  <si>
    <t>211307</t>
  </si>
  <si>
    <t>Vũ Đức Minh</t>
  </si>
  <si>
    <t>208026</t>
  </si>
  <si>
    <t>Trần Thanh Vũ</t>
  </si>
  <si>
    <t>451131</t>
  </si>
  <si>
    <t>Nguyễn Trung Hiếu</t>
  </si>
  <si>
    <t>Phòng Phần mềm</t>
  </si>
  <si>
    <t>244757</t>
  </si>
  <si>
    <t>Đỗ Thị Xuân</t>
  </si>
  <si>
    <t>Trung tâm Nền tảng IOT</t>
  </si>
  <si>
    <t>204703</t>
  </si>
  <si>
    <t>Nguyễn Thị Liêm</t>
  </si>
  <si>
    <t>K? s? phân tích nghi?p v?</t>
  </si>
  <si>
    <t>245356</t>
  </si>
  <si>
    <t>Nguyễn Cảnh Bắc</t>
  </si>
  <si>
    <t>245555</t>
  </si>
  <si>
    <t>Trần Văn Bằng</t>
  </si>
  <si>
    <t>431909</t>
  </si>
  <si>
    <t>Nguyễn Quang Chung</t>
  </si>
  <si>
    <t>110558</t>
  </si>
  <si>
    <t>Nguyễn Tiến Hiến</t>
  </si>
  <si>
    <t>Trưởng phòng phần mềm</t>
  </si>
  <si>
    <t>235951</t>
  </si>
  <si>
    <t>Vũ Đức Tuấn</t>
  </si>
  <si>
    <t>249117</t>
  </si>
  <si>
    <t>Nguyễn Xuân Huy</t>
  </si>
  <si>
    <t>272499</t>
  </si>
  <si>
    <t>Thái Thị Quỳnh Trang</t>
  </si>
  <si>
    <t>047173</t>
  </si>
  <si>
    <t>Nguyễn Quang Dũng</t>
  </si>
  <si>
    <t>196174</t>
  </si>
  <si>
    <t>Lê Ngọc Quý</t>
  </si>
  <si>
    <t>Giám đốc Trung tâm</t>
  </si>
  <si>
    <t>454511</t>
  </si>
  <si>
    <t>Chử Văn Minh</t>
  </si>
  <si>
    <t>Phòng Phát triển thiết bị và Tích hợp giải pháp</t>
  </si>
  <si>
    <t>437630</t>
  </si>
  <si>
    <t>Trần Ngọc Khiêm</t>
  </si>
  <si>
    <t>199319</t>
  </si>
  <si>
    <t>Nguyễn Quốc Tuấn</t>
  </si>
  <si>
    <t>Kỹ sư Phần mềm hệ thống</t>
  </si>
  <si>
    <t>123203</t>
  </si>
  <si>
    <t>Trần Mạnh Dũng</t>
  </si>
  <si>
    <t>Kỹ sư Thiết kế cao tần</t>
  </si>
  <si>
    <t>193273</t>
  </si>
  <si>
    <t>Vũ Như Thành</t>
  </si>
  <si>
    <t>Kỹ sư Hệ điều hành</t>
  </si>
  <si>
    <t>440330</t>
  </si>
  <si>
    <t>Nguyễn Chí Thành</t>
  </si>
  <si>
    <t>282982</t>
  </si>
  <si>
    <t>Chu Quang Dần</t>
  </si>
  <si>
    <t>441120</t>
  </si>
  <si>
    <t>Trần Văn Tiến</t>
  </si>
  <si>
    <t>434850</t>
  </si>
  <si>
    <t>Nguyễn Đức Long</t>
  </si>
  <si>
    <t>454505</t>
  </si>
  <si>
    <t>Đặng Quang Hưng</t>
  </si>
  <si>
    <t>291572</t>
  </si>
  <si>
    <t>Đào Nguyên Huy</t>
  </si>
  <si>
    <t>437625</t>
  </si>
  <si>
    <t>Lê Phương Nam</t>
  </si>
  <si>
    <t>454509</t>
  </si>
  <si>
    <t>Hoàng Kim Minh</t>
  </si>
  <si>
    <t>Phòng Công nghệ Cloud</t>
  </si>
  <si>
    <t>206280</t>
  </si>
  <si>
    <t>Đỗ Minh Đức</t>
  </si>
  <si>
    <t>276031</t>
  </si>
  <si>
    <t>291571</t>
  </si>
  <si>
    <t>Nguyễn Thế Anh</t>
  </si>
  <si>
    <t>271236</t>
  </si>
  <si>
    <t>Hoàng Văn Hào</t>
  </si>
  <si>
    <t>454507</t>
  </si>
  <si>
    <t>Trần Việt Hùng</t>
  </si>
  <si>
    <t>245558</t>
  </si>
  <si>
    <t>Lê Văn Cẩn</t>
  </si>
  <si>
    <t>451887</t>
  </si>
  <si>
    <t>Nguyễn Mạnh Việt</t>
  </si>
  <si>
    <t>263122</t>
  </si>
  <si>
    <t>Nguyễn Bảo Quốc</t>
  </si>
  <si>
    <t>Trưởng phòng Công nghệ Cloud</t>
  </si>
  <si>
    <t>434846</t>
  </si>
  <si>
    <t>Phạm Tiến Đạt</t>
  </si>
  <si>
    <t>226732</t>
  </si>
  <si>
    <t>Lê Tuấn Anh</t>
  </si>
  <si>
    <t>454513</t>
  </si>
  <si>
    <t>Hoa Đỗ Tùng Dương</t>
  </si>
  <si>
    <t>451133</t>
  </si>
  <si>
    <t>Nguyễn Quang Huy</t>
  </si>
  <si>
    <t>448219</t>
  </si>
  <si>
    <t>Lê Hoàng Nguyên</t>
  </si>
  <si>
    <t>456535</t>
  </si>
  <si>
    <t>Đỗ Thị Thu Trang</t>
  </si>
  <si>
    <t>Trung tâm Vi mạch</t>
  </si>
  <si>
    <t>234038</t>
  </si>
  <si>
    <t>Nguyễn Việt Hưng</t>
  </si>
  <si>
    <t>Kỹ sư Phần mềm nhúng</t>
  </si>
  <si>
    <t>276030</t>
  </si>
  <si>
    <t>Nguyễn Cảnh Hưng</t>
  </si>
  <si>
    <t>442889</t>
  </si>
  <si>
    <t>Trần Huy Hoàng</t>
  </si>
  <si>
    <t>265016</t>
  </si>
  <si>
    <t>Nguyễn Văn Hoàng</t>
  </si>
  <si>
    <t>Kỹ sư Vi mạch Mixed-Signal</t>
  </si>
  <si>
    <t>438219</t>
  </si>
  <si>
    <t>Lê Văn Hoàng</t>
  </si>
  <si>
    <t>272498</t>
  </si>
  <si>
    <t>Nguyễn Đức Nguyên</t>
  </si>
  <si>
    <t>Kỹ sư Vi mạch cao tần</t>
  </si>
  <si>
    <t>237270</t>
  </si>
  <si>
    <t>Nguyễn Thị Hoài</t>
  </si>
  <si>
    <t>Kỹ sư Thiết kế SoC</t>
  </si>
  <si>
    <t>273680</t>
  </si>
  <si>
    <t>Nguyễn Hoàng Thu Trang</t>
  </si>
  <si>
    <t>448579</t>
  </si>
  <si>
    <t>Nguyễn Minh Thắng</t>
  </si>
  <si>
    <t>251355</t>
  </si>
  <si>
    <t>Nguyễn Hoàng Đức</t>
  </si>
  <si>
    <t>453049</t>
  </si>
  <si>
    <t>Nguyễn Kim Đông</t>
  </si>
  <si>
    <t>278525</t>
  </si>
  <si>
    <t>Phạm Lê Bình</t>
  </si>
  <si>
    <t>237524</t>
  </si>
  <si>
    <t>Mai Đông Xuân</t>
  </si>
  <si>
    <t>272886</t>
  </si>
  <si>
    <t>Khổng Anh Tuấn</t>
  </si>
  <si>
    <t>243334</t>
  </si>
  <si>
    <t>Bùi Hà My</t>
  </si>
  <si>
    <t>276029</t>
  </si>
  <si>
    <t>Lê Chung Hiếu</t>
  </si>
  <si>
    <t>246400</t>
  </si>
  <si>
    <t>Nguyễn Tiến Thành</t>
  </si>
  <si>
    <t>430731</t>
  </si>
  <si>
    <t>Trịnh Công Chính</t>
  </si>
  <si>
    <t>237525</t>
  </si>
  <si>
    <t>Bùi Tuấn Hải</t>
  </si>
  <si>
    <t>430136</t>
  </si>
  <si>
    <t>Lê Đức Lộc</t>
  </si>
  <si>
    <t>231493</t>
  </si>
  <si>
    <t>Nguyễn Xuân Định</t>
  </si>
  <si>
    <t>442675</t>
  </si>
  <si>
    <t>Trần Tuấn Đạt</t>
  </si>
  <si>
    <t>439964</t>
  </si>
  <si>
    <t>Ngô Thị Hương</t>
  </si>
  <si>
    <t>Kỹ sư Cao tần</t>
  </si>
  <si>
    <t>442890</t>
  </si>
  <si>
    <t>Trần Minh Thuận</t>
  </si>
  <si>
    <t>277414</t>
  </si>
  <si>
    <t>Phùng Trí Nhân</t>
  </si>
  <si>
    <t>454501</t>
  </si>
  <si>
    <t>Võ Hồng Linh</t>
  </si>
  <si>
    <t>270968</t>
  </si>
  <si>
    <t>Nguyễn Hồng Sơn</t>
  </si>
  <si>
    <t>249516</t>
  </si>
  <si>
    <t>Nguyễn Thanh Hùng</t>
  </si>
  <si>
    <t>249090</t>
  </si>
  <si>
    <t>Vũ Gia Phúc</t>
  </si>
  <si>
    <t>290506</t>
  </si>
  <si>
    <t>Trần Tuấn Kiệt</t>
  </si>
  <si>
    <t>262839</t>
  </si>
  <si>
    <t>246398</t>
  </si>
  <si>
    <t>453417</t>
  </si>
  <si>
    <t>Trần Việt Hoàng</t>
  </si>
  <si>
    <t>Kỹ sư nghiên cứu thuật toán</t>
  </si>
  <si>
    <t>290999</t>
  </si>
  <si>
    <t>Đặng Tài Đạt</t>
  </si>
  <si>
    <t>430885</t>
  </si>
  <si>
    <t>Lưu Đại Trung</t>
  </si>
  <si>
    <t>247992</t>
  </si>
  <si>
    <t>Phạm Đình Trung</t>
  </si>
  <si>
    <t>132131</t>
  </si>
  <si>
    <t>Đồng Quang Trung</t>
  </si>
  <si>
    <t>Kỹ sư trưởng công nghệ</t>
  </si>
  <si>
    <t>279492</t>
  </si>
  <si>
    <t>Nguyễn Văn Linh</t>
  </si>
  <si>
    <t>428106</t>
  </si>
  <si>
    <t>Nguyễn Thị Vân</t>
  </si>
  <si>
    <t>448585</t>
  </si>
  <si>
    <t>Nguyễn Ngọc Sang</t>
  </si>
  <si>
    <t>289973</t>
  </si>
  <si>
    <t>Đỗ Đình Thanh</t>
  </si>
  <si>
    <t>237966</t>
  </si>
  <si>
    <t>Nguyễn Ngọc Tiền</t>
  </si>
  <si>
    <t>096796</t>
  </si>
  <si>
    <t>Lê Thái Hà</t>
  </si>
  <si>
    <t>441180</t>
  </si>
  <si>
    <t>Trần Quang Minh</t>
  </si>
  <si>
    <t>285229</t>
  </si>
  <si>
    <t>Đỗ Thanh Tân</t>
  </si>
  <si>
    <t>438220</t>
  </si>
  <si>
    <t>Trương Thị Cẩm Nhung</t>
  </si>
  <si>
    <t>440212</t>
  </si>
  <si>
    <t>Hà Minh Sơn</t>
  </si>
  <si>
    <t>234011</t>
  </si>
  <si>
    <t>Bùi Việt Sơn</t>
  </si>
  <si>
    <t>229799</t>
  </si>
  <si>
    <t>Dương Xuân Huy</t>
  </si>
  <si>
    <t>430542</t>
  </si>
  <si>
    <t>Đặng Thị Huế</t>
  </si>
  <si>
    <t>213925</t>
  </si>
  <si>
    <t>Nguyễn Trung Kiên</t>
  </si>
  <si>
    <t>454075</t>
  </si>
  <si>
    <t>Hà Thị Uyên</t>
  </si>
  <si>
    <t>ID</t>
  </si>
  <si>
    <t>Start time</t>
  </si>
  <si>
    <t>Completion time</t>
  </si>
  <si>
    <t>Email</t>
  </si>
  <si>
    <t>Name</t>
  </si>
  <si>
    <t>Last modified time</t>
  </si>
  <si>
    <t>Tên CBCNV</t>
  </si>
  <si>
    <t>Mã NV</t>
  </si>
  <si>
    <t>Chức vụ</t>
  </si>
  <si>
    <t>Đơn vị</t>
  </si>
  <si>
    <t>Chọn phúc lợi yêu cầu</t>
  </si>
  <si>
    <t>Chúc mừng CBNV</t>
  </si>
  <si>
    <t>Thân nhân của bạn đồng chí là</t>
  </si>
  <si>
    <t>Nơi điều trị</t>
  </si>
  <si>
    <t>Loại hồ sơ, giấy tờ kèm theo</t>
  </si>
  <si>
    <t>Số giấy tờ</t>
  </si>
  <si>
    <t>Xác nhận thông tin</t>
  </si>
  <si>
    <t>Họ và tên thân nhân </t>
  </si>
  <si>
    <t>Họ và tên thân nhân:</t>
  </si>
  <si>
    <t>Thân nhân của bạn đồng chí là:</t>
  </si>
  <si>
    <t>Ngày mất2</t>
  </si>
  <si>
    <t>anonymous</t>
  </si>
  <si>
    <t>Phòng QLCL</t>
  </si>
  <si>
    <t>thăm hỏi thân nhân CBNV</t>
  </si>
  <si>
    <t>bố đẻ</t>
  </si>
  <si>
    <t>Bệnh viện ĐK Y học cổ truyền Hà Nội</t>
  </si>
  <si>
    <t>Giấy ra viện</t>
  </si>
  <si>
    <t>27/05/2025</t>
  </si>
  <si>
    <t>Phí Văn Thành</t>
  </si>
  <si>
    <t>bố chồng</t>
  </si>
  <si>
    <t>Bệnh viện Đại học Y Hà Nội</t>
  </si>
  <si>
    <t>06/06/2025</t>
  </si>
  <si>
    <t>Đinh Văn Lừng</t>
  </si>
  <si>
    <t>mẹ đẻ</t>
  </si>
  <si>
    <t>Bệnh viện E</t>
  </si>
  <si>
    <t>29/05/2025</t>
  </si>
  <si>
    <t>Nguyễn Thị Bích Thủy</t>
  </si>
  <si>
    <t>Bệnh viện ĐK tỉnh Quảng Trị</t>
  </si>
  <si>
    <t>22/05/2025</t>
  </si>
  <si>
    <t>Trần Văn Triều</t>
  </si>
  <si>
    <t>=</t>
  </si>
  <si>
    <t>TỔNG CÔNG TY CÔNG NGHIỆP CÔNG NGHỆ CAO VIETTEL</t>
  </si>
  <si>
    <r>
      <t>CÔ</t>
    </r>
    <r>
      <rPr>
        <b/>
        <u/>
        <sz val="13"/>
        <color theme="1"/>
        <rFont val="Times New Roman"/>
        <family val="1"/>
      </rPr>
      <t xml:space="preserve">NG ĐOÀN CƠ </t>
    </r>
    <r>
      <rPr>
        <b/>
        <sz val="13"/>
        <color theme="1"/>
        <rFont val="Times New Roman"/>
        <family val="1"/>
      </rPr>
      <t>SỞ</t>
    </r>
  </si>
  <si>
    <t>TT</t>
  </si>
  <si>
    <t>MÃ NV</t>
  </si>
  <si>
    <t>HỌ VÀ TÊN</t>
  </si>
  <si>
    <t>NỘI DUNG</t>
  </si>
  <si>
    <t>ĐƠN VỊ</t>
  </si>
  <si>
    <t>CÔNG ĐOÀN</t>
  </si>
  <si>
    <t>PHÚC LỢI</t>
  </si>
  <si>
    <t>THUẾ TNCN</t>
  </si>
  <si>
    <t>THỰC NHẬN
(VNĐ)</t>
  </si>
  <si>
    <t>HỌ TÊN</t>
  </si>
  <si>
    <t>QUAN HỆ GIA ĐÌNH</t>
  </si>
  <si>
    <t>HỒ SƠ KÈM THEO</t>
  </si>
  <si>
    <t>KÝ NHẬN
 (Ký và ghi rõ họ tên)</t>
  </si>
  <si>
    <t>026567</t>
  </si>
  <si>
    <t>Nông Thị Minh Hiến</t>
  </si>
  <si>
    <t xml:space="preserve">                                                TỔNG CỘNG </t>
  </si>
  <si>
    <t>BẰNG CHỮ</t>
  </si>
  <si>
    <t>Sáu triệu đồng./.</t>
  </si>
  <si>
    <t>NGƯỜI NHẬN TIỀN</t>
  </si>
  <si>
    <t>NGƯỜI LẬP PHIẾU</t>
  </si>
  <si>
    <t>CHỦ TỊCH CĐCS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</si>
</sst>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  <numFmt numFmtId="167" formatCode="[$-409]m/d/yy\ h:mm\ AM/P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NI-Times"/>
    </font>
    <font>
      <sz val="10"/>
      <name val=".VnArial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4F81BD"/>
        <bgColor rgb="FF4F81BD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</cellStyleXfs>
  <cellXfs count="87">
    <xf numFmtId="0" fontId="0" fillId="0" borderId="0" xfId="0"/>
    <xf numFmtId="49" fontId="0" fillId="0" borderId="0" xfId="0" applyNumberForma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1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1" fillId="0" borderId="0" xfId="5" applyFont="1"/>
    <xf numFmtId="49" fontId="5" fillId="0" borderId="0" xfId="0" applyNumberFormat="1" applyFont="1" applyAlignment="1">
      <alignment vertical="center" wrapText="1"/>
    </xf>
    <xf numFmtId="0" fontId="16" fillId="0" borderId="0" xfId="1" applyFont="1" applyAlignment="1">
      <alignment vertical="center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vertical="center" wrapText="1"/>
    </xf>
    <xf numFmtId="165" fontId="7" fillId="0" borderId="0" xfId="2" applyNumberFormat="1" applyFont="1" applyAlignment="1">
      <alignment vertical="center" wrapText="1"/>
    </xf>
    <xf numFmtId="0" fontId="17" fillId="2" borderId="1" xfId="1" applyFont="1" applyFill="1" applyBorder="1" applyAlignment="1">
      <alignment horizontal="center" vertical="center" wrapText="1"/>
    </xf>
    <xf numFmtId="165" fontId="17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19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65" fontId="22" fillId="0" borderId="0" xfId="6" applyNumberFormat="1" applyFont="1"/>
    <xf numFmtId="49" fontId="23" fillId="3" borderId="0" xfId="7" applyNumberFormat="1" applyFont="1" applyFill="1" applyAlignment="1" applyProtection="1">
      <alignment horizontal="center"/>
      <protection hidden="1"/>
    </xf>
    <xf numFmtId="0" fontId="24" fillId="4" borderId="0" xfId="7" applyFont="1" applyFill="1" applyAlignment="1" applyProtection="1">
      <alignment horizontal="center"/>
      <protection hidden="1"/>
    </xf>
    <xf numFmtId="0" fontId="24" fillId="5" borderId="0" xfId="7" applyFont="1" applyFill="1" applyAlignment="1" applyProtection="1">
      <alignment horizontal="center"/>
      <protection hidden="1"/>
    </xf>
    <xf numFmtId="0" fontId="24" fillId="6" borderId="0" xfId="7" applyFont="1" applyFill="1" applyAlignment="1" applyProtection="1">
      <alignment horizontal="center"/>
      <protection hidden="1"/>
    </xf>
    <xf numFmtId="0" fontId="24" fillId="7" borderId="0" xfId="7" applyFont="1" applyFill="1" applyAlignment="1" applyProtection="1">
      <alignment horizontal="center"/>
      <protection hidden="1"/>
    </xf>
    <xf numFmtId="166" fontId="11" fillId="0" borderId="0" xfId="8" applyNumberFormat="1" applyFont="1"/>
    <xf numFmtId="0" fontId="11" fillId="0" borderId="0" xfId="6" applyFont="1"/>
    <xf numFmtId="49" fontId="11" fillId="3" borderId="0" xfId="7" applyNumberFormat="1" applyFont="1" applyFill="1" applyProtection="1">
      <protection hidden="1"/>
    </xf>
    <xf numFmtId="0" fontId="25" fillId="4" borderId="0" xfId="7" applyFont="1" applyFill="1" applyProtection="1">
      <protection hidden="1"/>
    </xf>
    <xf numFmtId="0" fontId="25" fillId="5" borderId="0" xfId="7" applyFont="1" applyFill="1" applyProtection="1">
      <protection hidden="1"/>
    </xf>
    <xf numFmtId="0" fontId="25" fillId="6" borderId="0" xfId="7" applyFont="1" applyFill="1" applyProtection="1">
      <protection hidden="1"/>
    </xf>
    <xf numFmtId="0" fontId="25" fillId="7" borderId="0" xfId="7" applyFont="1" applyFill="1" applyProtection="1">
      <protection hidden="1"/>
    </xf>
    <xf numFmtId="0" fontId="25" fillId="4" borderId="0" xfId="9" applyFont="1" applyFill="1" applyAlignment="1" applyProtection="1">
      <alignment horizontal="center"/>
      <protection hidden="1"/>
    </xf>
    <xf numFmtId="0" fontId="25" fillId="5" borderId="0" xfId="9" applyFont="1" applyFill="1" applyAlignment="1" applyProtection="1">
      <alignment horizontal="center"/>
      <protection hidden="1"/>
    </xf>
    <xf numFmtId="0" fontId="25" fillId="6" borderId="0" xfId="9" applyFont="1" applyFill="1" applyAlignment="1" applyProtection="1">
      <alignment horizontal="center"/>
      <protection hidden="1"/>
    </xf>
    <xf numFmtId="0" fontId="25" fillId="7" borderId="0" xfId="9" applyFont="1" applyFill="1" applyAlignment="1" applyProtection="1">
      <alignment horizontal="center"/>
      <protection hidden="1"/>
    </xf>
    <xf numFmtId="0" fontId="25" fillId="4" borderId="0" xfId="7" applyFont="1" applyFill="1" applyAlignment="1" applyProtection="1">
      <alignment horizontal="center"/>
      <protection hidden="1"/>
    </xf>
    <xf numFmtId="0" fontId="25" fillId="5" borderId="0" xfId="7" applyFont="1" applyFill="1" applyAlignment="1" applyProtection="1">
      <alignment horizontal="center"/>
      <protection hidden="1"/>
    </xf>
    <xf numFmtId="0" fontId="25" fillId="6" borderId="0" xfId="7" applyFont="1" applyFill="1" applyAlignment="1" applyProtection="1">
      <alignment horizontal="center"/>
      <protection hidden="1"/>
    </xf>
    <xf numFmtId="0" fontId="25" fillId="7" borderId="0" xfId="7" applyFont="1" applyFill="1" applyAlignment="1" applyProtection="1">
      <alignment horizontal="center"/>
      <protection hidden="1"/>
    </xf>
    <xf numFmtId="49" fontId="25" fillId="0" borderId="0" xfId="7" applyNumberFormat="1" applyFont="1" applyProtection="1">
      <protection hidden="1"/>
    </xf>
    <xf numFmtId="0" fontId="11" fillId="0" borderId="0" xfId="7" applyFont="1" applyProtection="1">
      <protection hidden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165" fontId="10" fillId="0" borderId="2" xfId="2" applyNumberFormat="1" applyFont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quotePrefix="1" applyFont="1" applyFill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3" fontId="11" fillId="0" borderId="2" xfId="0" applyNumberFormat="1" applyFont="1" applyBorder="1" applyAlignment="1">
      <alignment horizontal="right" vertical="center" wrapText="1"/>
    </xf>
    <xf numFmtId="165" fontId="9" fillId="0" borderId="2" xfId="2" applyNumberFormat="1" applyFont="1" applyBorder="1" applyAlignment="1">
      <alignment horizontal="center" vertical="center" wrapText="1"/>
    </xf>
    <xf numFmtId="0" fontId="11" fillId="2" borderId="2" xfId="4" applyFont="1" applyFill="1" applyBorder="1" applyAlignment="1">
      <alignment horizontal="left" vertical="center" wrapText="1"/>
    </xf>
    <xf numFmtId="0" fontId="17" fillId="2" borderId="2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1" fontId="0" fillId="0" borderId="0" xfId="0" applyNumberFormat="1"/>
    <xf numFmtId="49" fontId="0" fillId="0" borderId="2" xfId="0" applyNumberFormat="1" applyBorder="1"/>
    <xf numFmtId="49" fontId="0" fillId="0" borderId="6" xfId="0" quotePrefix="1" applyNumberFormat="1" applyBorder="1"/>
    <xf numFmtId="0" fontId="26" fillId="8" borderId="0" xfId="0" applyFont="1" applyFill="1"/>
    <xf numFmtId="0" fontId="26" fillId="8" borderId="8" xfId="0" applyFont="1" applyFill="1" applyBorder="1"/>
    <xf numFmtId="49" fontId="26" fillId="8" borderId="9" xfId="0" applyNumberFormat="1" applyFont="1" applyFill="1" applyBorder="1"/>
    <xf numFmtId="49" fontId="0" fillId="0" borderId="7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5" xfId="0" quotePrefix="1" applyNumberFormat="1" applyBorder="1"/>
    <xf numFmtId="49" fontId="0" fillId="0" borderId="6" xfId="0" applyNumberFormat="1" applyBorder="1"/>
    <xf numFmtId="167" fontId="0" fillId="0" borderId="2" xfId="0" applyNumberFormat="1" applyBorder="1"/>
    <xf numFmtId="49" fontId="0" fillId="0" borderId="2" xfId="0" quotePrefix="1" applyNumberFormat="1" applyBorder="1"/>
    <xf numFmtId="167" fontId="0" fillId="0" borderId="5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0" fontId="20" fillId="0" borderId="0" xfId="1" applyFont="1" applyAlignment="1">
      <alignment horizontal="center" vertical="center" wrapText="1"/>
    </xf>
    <xf numFmtId="0" fontId="21" fillId="0" borderId="0" xfId="5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17" fillId="0" borderId="1" xfId="0" applyFont="1" applyBorder="1" applyAlignment="1">
      <alignment horizontal="right" vertical="center" wrapText="1"/>
    </xf>
    <xf numFmtId="49" fontId="17" fillId="0" borderId="1" xfId="0" applyNumberFormat="1" applyFont="1" applyBorder="1" applyAlignment="1">
      <alignment horizontal="righ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0">
    <cellStyle name="Comma 2" xfId="2" xr:uid="{0CDFB73E-6589-485D-9459-6935B6FF7C37}"/>
    <cellStyle name="Comma 4" xfId="8" xr:uid="{2F17C9C4-6971-4A23-809F-44FF68301A7A}"/>
    <cellStyle name="Normal" xfId="0" builtinId="0"/>
    <cellStyle name="Normal 3 2" xfId="5" xr:uid="{D0BC611A-6522-4D2E-9892-4D3C8EA0FA1E}"/>
    <cellStyle name="Normal 4" xfId="1" xr:uid="{33E28D5D-BEEC-4173-ABA7-BF6ACFF348A9}"/>
    <cellStyle name="Normal 4 2" xfId="4" xr:uid="{BD0A95DA-C80A-4A6E-A67B-D252D71DDCF8}"/>
    <cellStyle name="Normal 7 2" xfId="3" xr:uid="{61B88970-4E82-4EF1-8254-A714E7B36E8E}"/>
    <cellStyle name="Normal_ChiTietNM0304" xfId="6" xr:uid="{C2217DAD-3F2D-43CB-80C4-AD8BE0A9D945}"/>
    <cellStyle name="Normal_Dichso" xfId="9" xr:uid="{FF0E191E-6405-4728-B92A-D9759ABEBC48}"/>
    <cellStyle name="Normal_DocSoUnicode" xfId="7" xr:uid="{A10F592E-3181-4D23-BD39-466D8ABC7787}"/>
  </cellStyles>
  <dxfs count="23"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numFmt numFmtId="30" formatCode="@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D326A-A460-474D-A43A-7D3402CB4987}" name="Table1" displayName="Table1" ref="A1:U52" totalsRowShown="0" dataDxfId="21" headerRowBorderDxfId="22">
  <autoFilter ref="A1:U52" xr:uid="{3A4D326A-A460-474D-A43A-7D3402CB4987}"/>
  <tableColumns count="21">
    <tableColumn id="1" xr3:uid="{446117FB-D23C-4820-820F-8733E7BB243C}" name="ID" dataDxfId="20"/>
    <tableColumn id="2" xr3:uid="{F933885B-E140-4901-8AD1-A2CE7F8E7833}" name="Start time" dataDxfId="19"/>
    <tableColumn id="3" xr3:uid="{FB0D217E-F036-491A-9EDD-7C87ED060697}" name="Completion time" dataDxfId="18"/>
    <tableColumn id="4" xr3:uid="{73DA5D92-4352-40DB-9D09-DB4925D4FEA4}" name="Email" dataDxfId="17"/>
    <tableColumn id="5" xr3:uid="{2B5D8F89-4428-4E22-B6FC-8CB2CAD6AD9E}" name="Name" dataDxfId="16"/>
    <tableColumn id="6" xr3:uid="{960221A6-20B5-477C-BA0C-6BDECFBDE7CA}" name="Last modified time" dataDxfId="15"/>
    <tableColumn id="7" xr3:uid="{489586EC-3E1A-4B7F-BDC7-932BBA574B7F}" name="Tên CBCNV" dataDxfId="14"/>
    <tableColumn id="8" xr3:uid="{525B5994-C8E5-44FD-8731-4D945D76A634}" name="Mã NV" dataDxfId="13"/>
    <tableColumn id="9" xr3:uid="{BDB2BB97-07EA-4A10-BA1B-A09C14F9B81F}" name="Chức vụ" dataDxfId="12"/>
    <tableColumn id="10" xr3:uid="{13C3EC1D-68D2-403A-8F0B-F8E203D3FDEE}" name="Đơn vị" dataDxfId="11"/>
    <tableColumn id="11" xr3:uid="{60B1C313-66D5-42CD-9707-1529D0C47217}" name="Chọn phúc lợi yêu cầu" dataDxfId="10"/>
    <tableColumn id="12" xr3:uid="{F75F8356-A66D-4DC0-80F4-90E39DF607AB}" name="Chúc mừng CBNV" dataDxfId="9"/>
    <tableColumn id="13" xr3:uid="{210B3971-26E4-426A-8E6F-901D095928F5}" name="Thân nhân của bạn đồng chí là" dataDxfId="8"/>
    <tableColumn id="14" xr3:uid="{754762D4-4021-48F3-A2C5-B47FF307808F}" name="Nơi điều trị" dataDxfId="7"/>
    <tableColumn id="15" xr3:uid="{96AAEB69-FAAB-4873-8043-23387F02DC7F}" name="Loại hồ sơ, giấy tờ kèm theo" dataDxfId="6"/>
    <tableColumn id="16" xr3:uid="{4C893588-A412-4135-A3D4-088BFEAD7D2A}" name="Số giấy tờ" dataDxfId="5"/>
    <tableColumn id="17" xr3:uid="{F4F9897F-A2A2-41B8-A19E-6190F7E73B71}" name="Xác nhận thông tin" dataDxfId="4"/>
    <tableColumn id="18" xr3:uid="{6DCF8DC3-AE19-4839-AC4C-6DB968199F38}" name="Họ và tên thân nhân " dataDxfId="3"/>
    <tableColumn id="19" xr3:uid="{830E3908-3A6E-4608-A6CD-076E0CCF669D}" name="Họ và tên thân nhân:" dataDxfId="2"/>
    <tableColumn id="21" xr3:uid="{C05C88AF-31C0-4A8F-B0C6-9B0E519334CD}" name="Thân nhân của bạn đồng chí là:" dataDxfId="1"/>
    <tableColumn id="20" xr3:uid="{6910EFCA-5EE7-4875-BA09-BE905BDA35DF}" name="Ngày mất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D5DB-2FC8-4CEE-8D1F-BB469F02849F}">
  <dimension ref="A1:A3"/>
  <sheetViews>
    <sheetView workbookViewId="0"/>
  </sheetViews>
  <sheetFormatPr baseColWidth="10" defaultColWidth="8.83203125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4B0D-9ED0-4915-AE00-D5922AAEF25C}">
  <dimension ref="A1:M187"/>
  <sheetViews>
    <sheetView topLeftCell="C89" workbookViewId="0">
      <selection activeCell="G104" sqref="G104"/>
    </sheetView>
  </sheetViews>
  <sheetFormatPr baseColWidth="10" defaultColWidth="8.83203125" defaultRowHeight="15"/>
  <cols>
    <col min="1" max="1" width="4.5" bestFit="1" customWidth="1"/>
    <col min="2" max="2" width="7.6640625" bestFit="1" customWidth="1"/>
    <col min="3" max="3" width="24.1640625" bestFit="1" customWidth="1"/>
    <col min="4" max="4" width="9.5" bestFit="1" customWidth="1"/>
    <col min="5" max="5" width="10.5" bestFit="1" customWidth="1"/>
    <col min="6" max="6" width="15.6640625" bestFit="1" customWidth="1"/>
    <col min="7" max="7" width="27.6640625" bestFit="1" customWidth="1"/>
    <col min="8" max="8" width="42.5" bestFit="1" customWidth="1"/>
    <col min="9" max="9" width="34.5" bestFit="1" customWidth="1"/>
    <col min="10" max="10" width="30.6640625" bestFit="1" customWidth="1"/>
    <col min="11" max="11" width="17.5" bestFit="1" customWidth="1"/>
    <col min="12" max="12" width="5.5" bestFit="1" customWidth="1"/>
    <col min="13" max="13" width="23" bestFit="1" customWidth="1"/>
  </cols>
  <sheetData>
    <row r="1" spans="1:13">
      <c r="A1" s="56" t="s">
        <v>3</v>
      </c>
      <c r="B1" s="56" t="s">
        <v>4</v>
      </c>
      <c r="C1" s="56" t="s">
        <v>5</v>
      </c>
      <c r="D1" s="56" t="s">
        <v>6</v>
      </c>
      <c r="E1" s="56" t="s">
        <v>7</v>
      </c>
      <c r="F1" s="56" t="s">
        <v>8</v>
      </c>
      <c r="G1" s="56" t="s">
        <v>9</v>
      </c>
      <c r="H1" s="56" t="s">
        <v>10</v>
      </c>
      <c r="I1" s="56" t="s">
        <v>11</v>
      </c>
      <c r="J1" s="56" t="s">
        <v>12</v>
      </c>
      <c r="K1" s="56" t="s">
        <v>13</v>
      </c>
      <c r="L1" s="56" t="s">
        <v>14</v>
      </c>
      <c r="M1" s="56"/>
    </row>
    <row r="2" spans="1:13">
      <c r="A2" s="56">
        <v>1</v>
      </c>
      <c r="B2" s="56" t="s">
        <v>15</v>
      </c>
      <c r="C2" s="56" t="s">
        <v>16</v>
      </c>
      <c r="D2" s="56">
        <v>29714</v>
      </c>
      <c r="E2" s="56">
        <v>5</v>
      </c>
      <c r="F2" s="56" t="s">
        <v>17</v>
      </c>
      <c r="G2" s="56" t="s">
        <v>18</v>
      </c>
      <c r="H2" s="56" t="s">
        <v>19</v>
      </c>
      <c r="I2" s="56" t="s">
        <v>20</v>
      </c>
      <c r="J2" s="56" t="s">
        <v>21</v>
      </c>
      <c r="K2" s="56">
        <v>40535</v>
      </c>
      <c r="L2" s="56"/>
      <c r="M2" s="56"/>
    </row>
    <row r="3" spans="1:13">
      <c r="A3" s="56">
        <v>2</v>
      </c>
      <c r="B3" s="56" t="s">
        <v>22</v>
      </c>
      <c r="C3" s="56" t="s">
        <v>23</v>
      </c>
      <c r="D3" s="56">
        <v>26832</v>
      </c>
      <c r="E3" s="56">
        <v>6</v>
      </c>
      <c r="F3" s="56" t="s">
        <v>17</v>
      </c>
      <c r="G3" s="56" t="s">
        <v>18</v>
      </c>
      <c r="H3" s="56" t="s">
        <v>19</v>
      </c>
      <c r="I3" s="56" t="s">
        <v>20</v>
      </c>
      <c r="J3" s="56" t="s">
        <v>21</v>
      </c>
      <c r="K3" s="56">
        <v>37561</v>
      </c>
      <c r="L3" s="56"/>
      <c r="M3" s="56"/>
    </row>
    <row r="4" spans="1:13">
      <c r="A4" s="56">
        <v>3</v>
      </c>
      <c r="B4" s="56" t="s">
        <v>24</v>
      </c>
      <c r="C4" s="56" t="s">
        <v>25</v>
      </c>
      <c r="D4" s="56">
        <v>35623</v>
      </c>
      <c r="E4" s="56">
        <v>7</v>
      </c>
      <c r="F4" s="56" t="s">
        <v>17</v>
      </c>
      <c r="G4" s="56" t="s">
        <v>26</v>
      </c>
      <c r="H4" s="56" t="s">
        <v>27</v>
      </c>
      <c r="I4" s="56" t="s">
        <v>28</v>
      </c>
      <c r="J4" s="56" t="s">
        <v>29</v>
      </c>
      <c r="K4" s="56">
        <v>45005</v>
      </c>
      <c r="L4" s="56"/>
      <c r="M4" s="56"/>
    </row>
    <row r="5" spans="1:13">
      <c r="A5" s="56">
        <v>4</v>
      </c>
      <c r="B5" s="56" t="s">
        <v>30</v>
      </c>
      <c r="C5" s="56" t="s">
        <v>31</v>
      </c>
      <c r="D5" s="56">
        <v>32076</v>
      </c>
      <c r="E5" s="56">
        <v>10</v>
      </c>
      <c r="F5" s="56" t="s">
        <v>17</v>
      </c>
      <c r="G5" s="56" t="s">
        <v>26</v>
      </c>
      <c r="H5" s="56" t="s">
        <v>27</v>
      </c>
      <c r="I5" s="56" t="s">
        <v>28</v>
      </c>
      <c r="J5" s="56" t="s">
        <v>29</v>
      </c>
      <c r="K5" s="56">
        <v>44170</v>
      </c>
      <c r="L5" s="56"/>
      <c r="M5" s="56"/>
    </row>
    <row r="6" spans="1:13">
      <c r="A6" s="56">
        <v>5</v>
      </c>
      <c r="B6" s="56" t="s">
        <v>32</v>
      </c>
      <c r="C6" s="56" t="s">
        <v>33</v>
      </c>
      <c r="D6" s="56">
        <v>36969</v>
      </c>
      <c r="E6" s="56">
        <v>3</v>
      </c>
      <c r="F6" s="56" t="s">
        <v>17</v>
      </c>
      <c r="G6" s="56" t="s">
        <v>26</v>
      </c>
      <c r="H6" s="56" t="s">
        <v>27</v>
      </c>
      <c r="I6" s="56" t="s">
        <v>34</v>
      </c>
      <c r="J6" s="56" t="s">
        <v>29</v>
      </c>
      <c r="K6" s="56">
        <v>44763</v>
      </c>
      <c r="L6" s="56"/>
      <c r="M6" s="56"/>
    </row>
    <row r="7" spans="1:13">
      <c r="A7" s="56">
        <v>6</v>
      </c>
      <c r="B7" s="56" t="s">
        <v>35</v>
      </c>
      <c r="C7" s="56" t="s">
        <v>36</v>
      </c>
      <c r="D7" s="56">
        <v>36456</v>
      </c>
      <c r="E7" s="56">
        <v>10</v>
      </c>
      <c r="F7" s="56" t="s">
        <v>17</v>
      </c>
      <c r="G7" s="56" t="s">
        <v>26</v>
      </c>
      <c r="H7" s="56" t="s">
        <v>27</v>
      </c>
      <c r="I7" s="56" t="s">
        <v>28</v>
      </c>
      <c r="J7" s="56" t="s">
        <v>29</v>
      </c>
      <c r="K7" s="56">
        <v>44600</v>
      </c>
      <c r="L7" s="56"/>
      <c r="M7" s="56"/>
    </row>
    <row r="8" spans="1:13">
      <c r="A8" s="56">
        <v>7</v>
      </c>
      <c r="B8" s="56" t="s">
        <v>37</v>
      </c>
      <c r="C8" s="56" t="s">
        <v>38</v>
      </c>
      <c r="D8" s="56">
        <v>33558</v>
      </c>
      <c r="E8" s="56">
        <v>11</v>
      </c>
      <c r="F8" s="56" t="s">
        <v>17</v>
      </c>
      <c r="G8" s="56" t="s">
        <v>26</v>
      </c>
      <c r="H8" s="56" t="s">
        <v>27</v>
      </c>
      <c r="I8" s="56" t="s">
        <v>39</v>
      </c>
      <c r="J8" s="56" t="s">
        <v>29</v>
      </c>
      <c r="K8" s="56">
        <v>43577</v>
      </c>
      <c r="L8" s="56"/>
      <c r="M8" s="56"/>
    </row>
    <row r="9" spans="1:13">
      <c r="A9" s="56">
        <v>8</v>
      </c>
      <c r="B9" s="56" t="s">
        <v>40</v>
      </c>
      <c r="C9" s="56" t="s">
        <v>41</v>
      </c>
      <c r="D9" s="56">
        <v>33332</v>
      </c>
      <c r="E9" s="56">
        <v>4</v>
      </c>
      <c r="F9" s="56" t="s">
        <v>17</v>
      </c>
      <c r="G9" s="56" t="s">
        <v>26</v>
      </c>
      <c r="H9" s="56" t="s">
        <v>27</v>
      </c>
      <c r="I9" s="56" t="s">
        <v>42</v>
      </c>
      <c r="J9" s="56" t="s">
        <v>29</v>
      </c>
      <c r="K9" s="56">
        <v>41885</v>
      </c>
      <c r="L9" s="56"/>
      <c r="M9" s="56"/>
    </row>
    <row r="10" spans="1:13">
      <c r="A10" s="56">
        <v>9</v>
      </c>
      <c r="B10" s="56" t="s">
        <v>43</v>
      </c>
      <c r="C10" s="56" t="s">
        <v>44</v>
      </c>
      <c r="D10" s="56">
        <v>37165</v>
      </c>
      <c r="E10" s="56">
        <v>10</v>
      </c>
      <c r="F10" s="56" t="s">
        <v>17</v>
      </c>
      <c r="G10" s="56" t="s">
        <v>26</v>
      </c>
      <c r="H10" s="56" t="s">
        <v>27</v>
      </c>
      <c r="I10" s="56" t="s">
        <v>34</v>
      </c>
      <c r="J10" s="56" t="s">
        <v>29</v>
      </c>
      <c r="K10" s="56">
        <v>44774</v>
      </c>
      <c r="L10" s="56"/>
      <c r="M10" s="56"/>
    </row>
    <row r="11" spans="1:13">
      <c r="A11" s="56">
        <v>10</v>
      </c>
      <c r="B11" s="56" t="s">
        <v>45</v>
      </c>
      <c r="C11" s="56" t="s">
        <v>46</v>
      </c>
      <c r="D11" s="56">
        <v>29535</v>
      </c>
      <c r="E11" s="56">
        <v>11</v>
      </c>
      <c r="F11" s="56" t="s">
        <v>17</v>
      </c>
      <c r="G11" s="56" t="s">
        <v>26</v>
      </c>
      <c r="H11" s="56" t="s">
        <v>47</v>
      </c>
      <c r="I11" s="56" t="s">
        <v>48</v>
      </c>
      <c r="J11" s="56" t="s">
        <v>49</v>
      </c>
      <c r="K11" s="56">
        <v>37712</v>
      </c>
      <c r="L11" s="56"/>
      <c r="M11" s="56"/>
    </row>
    <row r="12" spans="1:13">
      <c r="A12" s="56">
        <v>11</v>
      </c>
      <c r="B12" s="56" t="s">
        <v>50</v>
      </c>
      <c r="C12" s="56" t="s">
        <v>51</v>
      </c>
      <c r="D12" s="56">
        <v>35000</v>
      </c>
      <c r="E12" s="56">
        <v>10</v>
      </c>
      <c r="F12" s="56" t="s">
        <v>17</v>
      </c>
      <c r="G12" s="56" t="s">
        <v>26</v>
      </c>
      <c r="H12" s="56" t="s">
        <v>27</v>
      </c>
      <c r="I12" s="56" t="s">
        <v>42</v>
      </c>
      <c r="J12" s="56" t="s">
        <v>29</v>
      </c>
      <c r="K12" s="56">
        <v>42795</v>
      </c>
      <c r="L12" s="56"/>
      <c r="M12" s="56"/>
    </row>
    <row r="13" spans="1:13">
      <c r="A13" s="56">
        <v>12</v>
      </c>
      <c r="B13" s="56" t="s">
        <v>52</v>
      </c>
      <c r="C13" s="56" t="s">
        <v>53</v>
      </c>
      <c r="D13" s="56">
        <v>36163</v>
      </c>
      <c r="E13" s="56">
        <v>1</v>
      </c>
      <c r="F13" s="56" t="s">
        <v>17</v>
      </c>
      <c r="G13" s="56" t="s">
        <v>54</v>
      </c>
      <c r="H13" s="56" t="s">
        <v>55</v>
      </c>
      <c r="I13" s="56" t="s">
        <v>56</v>
      </c>
      <c r="J13" s="56" t="s">
        <v>29</v>
      </c>
      <c r="K13" s="56">
        <v>45071</v>
      </c>
      <c r="L13" s="56"/>
      <c r="M13" s="56"/>
    </row>
    <row r="14" spans="1:13">
      <c r="A14" s="56">
        <v>13</v>
      </c>
      <c r="B14" s="56" t="s">
        <v>57</v>
      </c>
      <c r="C14" s="56" t="s">
        <v>58</v>
      </c>
      <c r="D14" s="56">
        <v>34915</v>
      </c>
      <c r="E14" s="56">
        <v>8</v>
      </c>
      <c r="F14" s="56" t="s">
        <v>17</v>
      </c>
      <c r="G14" s="56" t="s">
        <v>54</v>
      </c>
      <c r="H14" s="56" t="s">
        <v>55</v>
      </c>
      <c r="I14" s="56" t="s">
        <v>56</v>
      </c>
      <c r="J14" s="56" t="s">
        <v>29</v>
      </c>
      <c r="K14" s="56">
        <v>43587</v>
      </c>
      <c r="L14" s="56" t="s">
        <v>59</v>
      </c>
      <c r="M14" s="56"/>
    </row>
    <row r="15" spans="1:13">
      <c r="A15" s="56">
        <v>14</v>
      </c>
      <c r="B15" s="56" t="s">
        <v>60</v>
      </c>
      <c r="C15" s="56" t="s">
        <v>61</v>
      </c>
      <c r="D15" s="56">
        <v>33352</v>
      </c>
      <c r="E15" s="56">
        <v>4</v>
      </c>
      <c r="F15" s="56" t="s">
        <v>17</v>
      </c>
      <c r="G15" s="56" t="s">
        <v>54</v>
      </c>
      <c r="H15" s="56" t="s">
        <v>55</v>
      </c>
      <c r="I15" s="56" t="s">
        <v>62</v>
      </c>
      <c r="J15" s="56" t="s">
        <v>29</v>
      </c>
      <c r="K15" s="56">
        <v>41885</v>
      </c>
      <c r="L15" s="56"/>
      <c r="M15" s="56"/>
    </row>
    <row r="16" spans="1:13">
      <c r="A16" s="56">
        <v>15</v>
      </c>
      <c r="B16" s="56" t="s">
        <v>63</v>
      </c>
      <c r="C16" s="56" t="s">
        <v>64</v>
      </c>
      <c r="D16" s="56">
        <v>36871</v>
      </c>
      <c r="E16" s="56">
        <v>12</v>
      </c>
      <c r="F16" s="56" t="s">
        <v>17</v>
      </c>
      <c r="G16" s="56" t="s">
        <v>54</v>
      </c>
      <c r="H16" s="56" t="s">
        <v>55</v>
      </c>
      <c r="I16" s="56" t="s">
        <v>56</v>
      </c>
      <c r="J16" s="56" t="s">
        <v>29</v>
      </c>
      <c r="K16" s="56">
        <v>44859</v>
      </c>
      <c r="L16" s="56" t="s">
        <v>59</v>
      </c>
      <c r="M16" s="56"/>
    </row>
    <row r="17" spans="1:13">
      <c r="A17" s="56">
        <v>16</v>
      </c>
      <c r="B17" s="56" t="s">
        <v>65</v>
      </c>
      <c r="C17" s="56" t="s">
        <v>66</v>
      </c>
      <c r="D17" s="56">
        <v>34780</v>
      </c>
      <c r="E17" s="56">
        <v>3</v>
      </c>
      <c r="F17" s="56" t="s">
        <v>17</v>
      </c>
      <c r="G17" s="56" t="s">
        <v>54</v>
      </c>
      <c r="H17" s="56" t="s">
        <v>55</v>
      </c>
      <c r="I17" s="56" t="s">
        <v>56</v>
      </c>
      <c r="J17" s="56" t="s">
        <v>29</v>
      </c>
      <c r="K17" s="56">
        <v>43269</v>
      </c>
      <c r="L17" s="56"/>
      <c r="M17" s="56"/>
    </row>
    <row r="18" spans="1:13">
      <c r="A18" s="56">
        <v>17</v>
      </c>
      <c r="B18" s="56" t="s">
        <v>67</v>
      </c>
      <c r="C18" s="56" t="s">
        <v>68</v>
      </c>
      <c r="D18" s="56">
        <v>34609</v>
      </c>
      <c r="E18" s="56">
        <v>10</v>
      </c>
      <c r="F18" s="56" t="s">
        <v>17</v>
      </c>
      <c r="G18" s="56" t="s">
        <v>54</v>
      </c>
      <c r="H18" s="56" t="s">
        <v>69</v>
      </c>
      <c r="I18" s="56" t="s">
        <v>70</v>
      </c>
      <c r="J18" s="56" t="s">
        <v>29</v>
      </c>
      <c r="K18" s="56">
        <v>43963</v>
      </c>
      <c r="L18" s="56"/>
      <c r="M18" s="56"/>
    </row>
    <row r="19" spans="1:13">
      <c r="A19" s="56">
        <v>18</v>
      </c>
      <c r="B19" s="56" t="s">
        <v>71</v>
      </c>
      <c r="C19" s="56" t="s">
        <v>72</v>
      </c>
      <c r="D19" s="56">
        <v>32669</v>
      </c>
      <c r="E19" s="56">
        <v>6</v>
      </c>
      <c r="F19" s="56" t="s">
        <v>17</v>
      </c>
      <c r="G19" s="56" t="s">
        <v>54</v>
      </c>
      <c r="H19" s="56" t="s">
        <v>69</v>
      </c>
      <c r="I19" s="56" t="s">
        <v>70</v>
      </c>
      <c r="J19" s="56" t="s">
        <v>29</v>
      </c>
      <c r="K19" s="56">
        <v>44060</v>
      </c>
      <c r="L19" s="56"/>
      <c r="M19" s="56"/>
    </row>
    <row r="20" spans="1:13">
      <c r="A20" s="56">
        <v>19</v>
      </c>
      <c r="B20" s="56" t="s">
        <v>73</v>
      </c>
      <c r="C20" s="56" t="s">
        <v>74</v>
      </c>
      <c r="D20" s="56">
        <v>33538</v>
      </c>
      <c r="E20" s="56">
        <v>10</v>
      </c>
      <c r="F20" s="56" t="s">
        <v>17</v>
      </c>
      <c r="G20" s="56" t="s">
        <v>54</v>
      </c>
      <c r="H20" s="56" t="s">
        <v>47</v>
      </c>
      <c r="I20" s="56" t="s">
        <v>75</v>
      </c>
      <c r="J20" s="56" t="s">
        <v>29</v>
      </c>
      <c r="K20" s="56">
        <v>41584</v>
      </c>
      <c r="L20" s="56"/>
      <c r="M20" s="56"/>
    </row>
    <row r="21" spans="1:13">
      <c r="A21" s="56">
        <v>20</v>
      </c>
      <c r="B21" s="56" t="s">
        <v>76</v>
      </c>
      <c r="C21" s="56" t="s">
        <v>77</v>
      </c>
      <c r="D21" s="56">
        <v>35194</v>
      </c>
      <c r="E21" s="56">
        <v>5</v>
      </c>
      <c r="F21" s="56" t="s">
        <v>17</v>
      </c>
      <c r="G21" s="56" t="s">
        <v>54</v>
      </c>
      <c r="H21" s="56" t="s">
        <v>55</v>
      </c>
      <c r="I21" s="56" t="s">
        <v>56</v>
      </c>
      <c r="J21" s="56" t="s">
        <v>29</v>
      </c>
      <c r="K21" s="56">
        <v>44105</v>
      </c>
      <c r="L21" s="56"/>
      <c r="M21" s="56"/>
    </row>
    <row r="22" spans="1:13">
      <c r="A22" s="56">
        <v>21</v>
      </c>
      <c r="B22" s="56" t="s">
        <v>78</v>
      </c>
      <c r="C22" s="56" t="s">
        <v>79</v>
      </c>
      <c r="D22" s="56">
        <v>33471</v>
      </c>
      <c r="E22" s="56">
        <v>8</v>
      </c>
      <c r="F22" s="56" t="s">
        <v>17</v>
      </c>
      <c r="G22" s="56" t="s">
        <v>80</v>
      </c>
      <c r="H22" s="56" t="s">
        <v>81</v>
      </c>
      <c r="I22" s="56" t="s">
        <v>82</v>
      </c>
      <c r="J22" s="56" t="s">
        <v>29</v>
      </c>
      <c r="K22" s="56">
        <v>42037</v>
      </c>
      <c r="L22" s="56"/>
      <c r="M22" s="56"/>
    </row>
    <row r="23" spans="1:13">
      <c r="A23" s="56">
        <v>22</v>
      </c>
      <c r="B23" s="56" t="s">
        <v>83</v>
      </c>
      <c r="C23" s="56" t="s">
        <v>84</v>
      </c>
      <c r="D23" s="56">
        <v>34913</v>
      </c>
      <c r="E23" s="56">
        <v>8</v>
      </c>
      <c r="F23" s="56" t="s">
        <v>17</v>
      </c>
      <c r="G23" s="56" t="s">
        <v>80</v>
      </c>
      <c r="H23" s="56" t="s">
        <v>81</v>
      </c>
      <c r="I23" s="56" t="s">
        <v>82</v>
      </c>
      <c r="J23" s="56" t="s">
        <v>29</v>
      </c>
      <c r="K23" s="56">
        <v>44099</v>
      </c>
      <c r="L23" s="56"/>
      <c r="M23" s="56"/>
    </row>
    <row r="24" spans="1:13">
      <c r="A24" s="56">
        <v>23</v>
      </c>
      <c r="B24" s="56" t="s">
        <v>85</v>
      </c>
      <c r="C24" s="56" t="s">
        <v>86</v>
      </c>
      <c r="D24" s="56">
        <v>28776</v>
      </c>
      <c r="E24" s="56">
        <v>10</v>
      </c>
      <c r="F24" s="56" t="s">
        <v>17</v>
      </c>
      <c r="G24" s="56" t="s">
        <v>80</v>
      </c>
      <c r="H24" s="56" t="s">
        <v>81</v>
      </c>
      <c r="I24" s="56" t="s">
        <v>82</v>
      </c>
      <c r="J24" s="56" t="s">
        <v>29</v>
      </c>
      <c r="K24" s="56">
        <v>38586</v>
      </c>
      <c r="L24" s="56" t="s">
        <v>59</v>
      </c>
      <c r="M24" s="56"/>
    </row>
    <row r="25" spans="1:13">
      <c r="A25" s="56">
        <v>24</v>
      </c>
      <c r="B25" s="56" t="s">
        <v>87</v>
      </c>
      <c r="C25" s="56" t="s">
        <v>88</v>
      </c>
      <c r="D25" s="56">
        <v>32393</v>
      </c>
      <c r="E25" s="56">
        <v>9</v>
      </c>
      <c r="F25" s="56" t="s">
        <v>17</v>
      </c>
      <c r="G25" s="56" t="s">
        <v>80</v>
      </c>
      <c r="H25" s="56" t="s">
        <v>81</v>
      </c>
      <c r="I25" s="56" t="s">
        <v>89</v>
      </c>
      <c r="J25" s="56" t="s">
        <v>21</v>
      </c>
      <c r="K25" s="56">
        <v>43532</v>
      </c>
      <c r="L25" s="56"/>
      <c r="M25" s="56"/>
    </row>
    <row r="26" spans="1:13">
      <c r="A26" s="56">
        <v>25</v>
      </c>
      <c r="B26" s="56" t="s">
        <v>90</v>
      </c>
      <c r="C26" s="56" t="s">
        <v>91</v>
      </c>
      <c r="D26" s="56">
        <v>32379</v>
      </c>
      <c r="E26" s="56">
        <v>8</v>
      </c>
      <c r="F26" s="56" t="s">
        <v>17</v>
      </c>
      <c r="G26" s="56" t="s">
        <v>80</v>
      </c>
      <c r="H26" s="56" t="s">
        <v>81</v>
      </c>
      <c r="I26" s="56" t="s">
        <v>82</v>
      </c>
      <c r="J26" s="56" t="s">
        <v>29</v>
      </c>
      <c r="K26" s="56">
        <v>41997</v>
      </c>
      <c r="L26" s="56"/>
      <c r="M26" s="56"/>
    </row>
    <row r="27" spans="1:13">
      <c r="A27" s="56">
        <v>26</v>
      </c>
      <c r="B27" s="56" t="s">
        <v>92</v>
      </c>
      <c r="C27" s="56" t="s">
        <v>93</v>
      </c>
      <c r="D27" s="56">
        <v>29535</v>
      </c>
      <c r="E27" s="56">
        <v>11</v>
      </c>
      <c r="F27" s="56" t="s">
        <v>17</v>
      </c>
      <c r="G27" s="56" t="s">
        <v>80</v>
      </c>
      <c r="H27" s="56" t="s">
        <v>94</v>
      </c>
      <c r="I27" s="56" t="s">
        <v>95</v>
      </c>
      <c r="J27" s="56" t="s">
        <v>29</v>
      </c>
      <c r="K27" s="56">
        <v>41681</v>
      </c>
      <c r="L27" s="56"/>
      <c r="M27" s="56"/>
    </row>
    <row r="28" spans="1:13">
      <c r="A28" s="56">
        <v>27</v>
      </c>
      <c r="B28" s="56" t="s">
        <v>96</v>
      </c>
      <c r="C28" s="56" t="s">
        <v>97</v>
      </c>
      <c r="D28" s="56">
        <v>30510</v>
      </c>
      <c r="E28" s="56">
        <v>7</v>
      </c>
      <c r="F28" s="56" t="s">
        <v>17</v>
      </c>
      <c r="G28" s="56" t="s">
        <v>80</v>
      </c>
      <c r="H28" s="56" t="s">
        <v>94</v>
      </c>
      <c r="I28" s="56" t="s">
        <v>98</v>
      </c>
      <c r="J28" s="56" t="s">
        <v>99</v>
      </c>
      <c r="K28" s="56">
        <v>39363</v>
      </c>
      <c r="L28" s="56" t="s">
        <v>59</v>
      </c>
      <c r="M28" s="56"/>
    </row>
    <row r="29" spans="1:13">
      <c r="A29" s="56">
        <v>28</v>
      </c>
      <c r="B29" s="56" t="s">
        <v>100</v>
      </c>
      <c r="C29" s="56" t="s">
        <v>101</v>
      </c>
      <c r="D29" s="56">
        <v>33845</v>
      </c>
      <c r="E29" s="56">
        <v>8</v>
      </c>
      <c r="F29" s="56" t="s">
        <v>17</v>
      </c>
      <c r="G29" s="56" t="s">
        <v>80</v>
      </c>
      <c r="H29" s="56" t="s">
        <v>47</v>
      </c>
      <c r="I29" s="56" t="s">
        <v>102</v>
      </c>
      <c r="J29" s="56" t="s">
        <v>29</v>
      </c>
      <c r="K29" s="56">
        <v>42984</v>
      </c>
      <c r="L29" s="56"/>
      <c r="M29" s="56"/>
    </row>
    <row r="30" spans="1:13">
      <c r="A30" s="56">
        <v>29</v>
      </c>
      <c r="B30" s="56" t="s">
        <v>103</v>
      </c>
      <c r="C30" s="56" t="s">
        <v>104</v>
      </c>
      <c r="D30" s="56">
        <v>33775</v>
      </c>
      <c r="E30" s="56">
        <v>6</v>
      </c>
      <c r="F30" s="56" t="s">
        <v>17</v>
      </c>
      <c r="G30" s="56" t="s">
        <v>80</v>
      </c>
      <c r="H30" s="56" t="s">
        <v>81</v>
      </c>
      <c r="I30" s="56" t="s">
        <v>82</v>
      </c>
      <c r="J30" s="56" t="s">
        <v>29</v>
      </c>
      <c r="K30" s="56">
        <v>43720</v>
      </c>
      <c r="L30" s="56"/>
      <c r="M30" s="56"/>
    </row>
    <row r="31" spans="1:13">
      <c r="A31" s="56">
        <v>31</v>
      </c>
      <c r="B31" s="56" t="s">
        <v>105</v>
      </c>
      <c r="C31" s="56" t="s">
        <v>106</v>
      </c>
      <c r="D31" s="56">
        <v>36284</v>
      </c>
      <c r="E31" s="56">
        <v>5</v>
      </c>
      <c r="F31" s="56" t="s">
        <v>17</v>
      </c>
      <c r="G31" s="56" t="s">
        <v>107</v>
      </c>
      <c r="H31" s="56" t="s">
        <v>108</v>
      </c>
      <c r="I31" s="56" t="s">
        <v>109</v>
      </c>
      <c r="J31" s="56" t="s">
        <v>29</v>
      </c>
      <c r="K31" s="56">
        <v>44531</v>
      </c>
      <c r="L31" s="56"/>
      <c r="M31" s="56"/>
    </row>
    <row r="32" spans="1:13">
      <c r="A32" s="56">
        <v>32</v>
      </c>
      <c r="B32" s="56" t="s">
        <v>110</v>
      </c>
      <c r="C32" s="56" t="s">
        <v>111</v>
      </c>
      <c r="D32" s="56">
        <v>36529</v>
      </c>
      <c r="E32" s="56">
        <v>1</v>
      </c>
      <c r="F32" s="56" t="s">
        <v>17</v>
      </c>
      <c r="G32" s="56" t="s">
        <v>107</v>
      </c>
      <c r="H32" s="56" t="s">
        <v>108</v>
      </c>
      <c r="I32" s="56" t="s">
        <v>109</v>
      </c>
      <c r="J32" s="56" t="s">
        <v>29</v>
      </c>
      <c r="K32" s="56">
        <v>44670</v>
      </c>
      <c r="L32" s="56"/>
      <c r="M32" s="56"/>
    </row>
    <row r="33" spans="1:13">
      <c r="A33" s="56">
        <v>33</v>
      </c>
      <c r="B33" s="56" t="s">
        <v>112</v>
      </c>
      <c r="C33" s="56" t="s">
        <v>113</v>
      </c>
      <c r="D33" s="56">
        <v>33873</v>
      </c>
      <c r="E33" s="56">
        <v>9</v>
      </c>
      <c r="F33" s="56" t="s">
        <v>17</v>
      </c>
      <c r="G33" s="56" t="s">
        <v>107</v>
      </c>
      <c r="H33" s="56" t="s">
        <v>108</v>
      </c>
      <c r="I33" s="56" t="s">
        <v>114</v>
      </c>
      <c r="J33" s="56" t="s">
        <v>29</v>
      </c>
      <c r="K33" s="56">
        <v>41834</v>
      </c>
      <c r="L33" s="56"/>
      <c r="M33" s="56"/>
    </row>
    <row r="34" spans="1:13">
      <c r="A34" s="56">
        <v>34</v>
      </c>
      <c r="B34" s="56" t="s">
        <v>115</v>
      </c>
      <c r="C34" s="56" t="s">
        <v>116</v>
      </c>
      <c r="D34" s="56">
        <v>31437</v>
      </c>
      <c r="E34" s="56">
        <v>1</v>
      </c>
      <c r="F34" s="56" t="s">
        <v>17</v>
      </c>
      <c r="G34" s="56" t="s">
        <v>107</v>
      </c>
      <c r="H34" s="56" t="s">
        <v>108</v>
      </c>
      <c r="I34" s="56" t="s">
        <v>117</v>
      </c>
      <c r="J34" s="56" t="s">
        <v>29</v>
      </c>
      <c r="K34" s="56">
        <v>41421</v>
      </c>
      <c r="L34" s="56" t="s">
        <v>59</v>
      </c>
      <c r="M34" s="56"/>
    </row>
    <row r="35" spans="1:13">
      <c r="A35" s="56">
        <v>35</v>
      </c>
      <c r="B35" s="56" t="s">
        <v>118</v>
      </c>
      <c r="C35" s="56" t="s">
        <v>119</v>
      </c>
      <c r="D35" s="56">
        <v>36533</v>
      </c>
      <c r="E35" s="56">
        <v>1</v>
      </c>
      <c r="F35" s="56" t="s">
        <v>17</v>
      </c>
      <c r="G35" s="56" t="s">
        <v>107</v>
      </c>
      <c r="H35" s="56" t="s">
        <v>108</v>
      </c>
      <c r="I35" s="56" t="s">
        <v>109</v>
      </c>
      <c r="J35" s="56" t="s">
        <v>29</v>
      </c>
      <c r="K35" s="56">
        <v>44916</v>
      </c>
      <c r="L35" s="56"/>
      <c r="M35" s="56"/>
    </row>
    <row r="36" spans="1:13">
      <c r="A36" s="56">
        <v>36</v>
      </c>
      <c r="B36" s="56" t="s">
        <v>120</v>
      </c>
      <c r="C36" s="56" t="s">
        <v>121</v>
      </c>
      <c r="D36" s="56">
        <v>36759</v>
      </c>
      <c r="E36" s="56">
        <v>8</v>
      </c>
      <c r="F36" s="56" t="s">
        <v>17</v>
      </c>
      <c r="G36" s="56" t="s">
        <v>107</v>
      </c>
      <c r="H36" s="56" t="s">
        <v>108</v>
      </c>
      <c r="I36" s="56" t="s">
        <v>109</v>
      </c>
      <c r="J36" s="56" t="s">
        <v>29</v>
      </c>
      <c r="K36" s="56">
        <v>44886</v>
      </c>
      <c r="L36" s="56"/>
      <c r="M36" s="56"/>
    </row>
    <row r="37" spans="1:13">
      <c r="A37" s="56">
        <v>37</v>
      </c>
      <c r="B37" s="56" t="s">
        <v>122</v>
      </c>
      <c r="C37" s="56" t="s">
        <v>123</v>
      </c>
      <c r="D37" s="56">
        <v>37293</v>
      </c>
      <c r="E37" s="56">
        <v>2</v>
      </c>
      <c r="F37" s="56" t="s">
        <v>17</v>
      </c>
      <c r="G37" s="56" t="s">
        <v>107</v>
      </c>
      <c r="H37" s="56" t="s">
        <v>108</v>
      </c>
      <c r="I37" s="56" t="s">
        <v>109</v>
      </c>
      <c r="J37" s="56" t="s">
        <v>124</v>
      </c>
      <c r="K37" s="56">
        <v>45131</v>
      </c>
      <c r="L37" s="56"/>
      <c r="M37" s="56"/>
    </row>
    <row r="38" spans="1:13">
      <c r="A38" s="56">
        <v>38</v>
      </c>
      <c r="B38" s="56" t="s">
        <v>125</v>
      </c>
      <c r="C38" s="56" t="s">
        <v>126</v>
      </c>
      <c r="D38" s="56">
        <v>36544</v>
      </c>
      <c r="E38" s="56">
        <v>1</v>
      </c>
      <c r="F38" s="56" t="s">
        <v>17</v>
      </c>
      <c r="G38" s="56" t="s">
        <v>107</v>
      </c>
      <c r="H38" s="56" t="s">
        <v>108</v>
      </c>
      <c r="I38" s="56" t="s">
        <v>127</v>
      </c>
      <c r="J38" s="56" t="s">
        <v>29</v>
      </c>
      <c r="K38" s="56">
        <v>44846</v>
      </c>
      <c r="L38" s="56"/>
      <c r="M38" s="56"/>
    </row>
    <row r="39" spans="1:13">
      <c r="A39" s="56">
        <v>39</v>
      </c>
      <c r="B39" s="56" t="s">
        <v>128</v>
      </c>
      <c r="C39" s="56" t="s">
        <v>129</v>
      </c>
      <c r="D39" s="56">
        <v>35431</v>
      </c>
      <c r="E39" s="56">
        <v>1</v>
      </c>
      <c r="F39" s="56" t="s">
        <v>17</v>
      </c>
      <c r="G39" s="56" t="s">
        <v>107</v>
      </c>
      <c r="H39" s="56" t="s">
        <v>108</v>
      </c>
      <c r="I39" s="56" t="s">
        <v>130</v>
      </c>
      <c r="J39" s="56" t="s">
        <v>29</v>
      </c>
      <c r="K39" s="56">
        <v>43405</v>
      </c>
      <c r="L39" s="56"/>
      <c r="M39" s="56"/>
    </row>
    <row r="40" spans="1:13">
      <c r="A40" s="56">
        <v>40</v>
      </c>
      <c r="B40" s="56" t="s">
        <v>131</v>
      </c>
      <c r="C40" s="56" t="s">
        <v>132</v>
      </c>
      <c r="D40" s="56">
        <v>35579</v>
      </c>
      <c r="E40" s="56">
        <v>5</v>
      </c>
      <c r="F40" s="56" t="s">
        <v>17</v>
      </c>
      <c r="G40" s="56" t="s">
        <v>107</v>
      </c>
      <c r="H40" s="56" t="s">
        <v>108</v>
      </c>
      <c r="I40" s="56" t="s">
        <v>133</v>
      </c>
      <c r="J40" s="56" t="s">
        <v>29</v>
      </c>
      <c r="K40" s="56">
        <v>43511</v>
      </c>
      <c r="L40" s="56"/>
      <c r="M40" s="56"/>
    </row>
    <row r="41" spans="1:13">
      <c r="A41" s="56">
        <v>41</v>
      </c>
      <c r="B41" s="56" t="s">
        <v>134</v>
      </c>
      <c r="C41" s="56" t="s">
        <v>135</v>
      </c>
      <c r="D41" s="56">
        <v>36606</v>
      </c>
      <c r="E41" s="56">
        <v>3</v>
      </c>
      <c r="F41" s="56" t="s">
        <v>17</v>
      </c>
      <c r="G41" s="56" t="s">
        <v>107</v>
      </c>
      <c r="H41" s="56" t="s">
        <v>108</v>
      </c>
      <c r="I41" s="56" t="s">
        <v>109</v>
      </c>
      <c r="J41" s="56" t="s">
        <v>29</v>
      </c>
      <c r="K41" s="56">
        <v>44879</v>
      </c>
      <c r="L41" s="56"/>
      <c r="M41" s="56"/>
    </row>
    <row r="42" spans="1:13">
      <c r="A42" s="56">
        <v>42</v>
      </c>
      <c r="B42" s="56" t="s">
        <v>136</v>
      </c>
      <c r="C42" s="56" t="s">
        <v>137</v>
      </c>
      <c r="D42" s="56">
        <v>36901</v>
      </c>
      <c r="E42" s="56">
        <v>1</v>
      </c>
      <c r="F42" s="56" t="s">
        <v>17</v>
      </c>
      <c r="G42" s="56" t="s">
        <v>107</v>
      </c>
      <c r="H42" s="56" t="s">
        <v>108</v>
      </c>
      <c r="I42" s="56" t="s">
        <v>133</v>
      </c>
      <c r="J42" s="56" t="s">
        <v>124</v>
      </c>
      <c r="K42" s="56">
        <v>45124</v>
      </c>
      <c r="L42" s="56"/>
      <c r="M42" s="56"/>
    </row>
    <row r="43" spans="1:13">
      <c r="A43" s="56">
        <v>43</v>
      </c>
      <c r="B43" s="56" t="s">
        <v>138</v>
      </c>
      <c r="C43" s="56" t="s">
        <v>139</v>
      </c>
      <c r="D43" s="56">
        <v>36922</v>
      </c>
      <c r="E43" s="56">
        <v>1</v>
      </c>
      <c r="F43" s="56" t="s">
        <v>17</v>
      </c>
      <c r="G43" s="56" t="s">
        <v>107</v>
      </c>
      <c r="H43" s="56" t="s">
        <v>108</v>
      </c>
      <c r="I43" s="56" t="s">
        <v>133</v>
      </c>
      <c r="J43" s="56" t="s">
        <v>140</v>
      </c>
      <c r="K43" s="56">
        <v>45141</v>
      </c>
      <c r="L43" s="56"/>
      <c r="M43" s="56"/>
    </row>
    <row r="44" spans="1:13">
      <c r="A44" s="56">
        <v>44</v>
      </c>
      <c r="B44" s="56" t="s">
        <v>141</v>
      </c>
      <c r="C44" s="56" t="s">
        <v>142</v>
      </c>
      <c r="D44" s="56">
        <v>35596</v>
      </c>
      <c r="E44" s="56">
        <v>6</v>
      </c>
      <c r="F44" s="56" t="s">
        <v>17</v>
      </c>
      <c r="G44" s="56" t="s">
        <v>107</v>
      </c>
      <c r="H44" s="56" t="s">
        <v>108</v>
      </c>
      <c r="I44" s="56" t="s">
        <v>109</v>
      </c>
      <c r="J44" s="56" t="s">
        <v>29</v>
      </c>
      <c r="K44" s="56">
        <v>44362</v>
      </c>
      <c r="L44" s="56"/>
      <c r="M44" s="56"/>
    </row>
    <row r="45" spans="1:13">
      <c r="A45" s="56">
        <v>45</v>
      </c>
      <c r="B45" s="56" t="s">
        <v>143</v>
      </c>
      <c r="C45" s="56" t="s">
        <v>144</v>
      </c>
      <c r="D45" s="56">
        <v>36595</v>
      </c>
      <c r="E45" s="56">
        <v>3</v>
      </c>
      <c r="F45" s="56" t="s">
        <v>17</v>
      </c>
      <c r="G45" s="56" t="s">
        <v>107</v>
      </c>
      <c r="H45" s="56" t="s">
        <v>108</v>
      </c>
      <c r="I45" s="56" t="s">
        <v>133</v>
      </c>
      <c r="J45" s="56" t="s">
        <v>29</v>
      </c>
      <c r="K45" s="56">
        <v>44958</v>
      </c>
      <c r="L45" s="56"/>
      <c r="M45" s="56"/>
    </row>
    <row r="46" spans="1:13">
      <c r="A46" s="56">
        <v>46</v>
      </c>
      <c r="B46" s="56" t="s">
        <v>145</v>
      </c>
      <c r="C46" s="56" t="s">
        <v>146</v>
      </c>
      <c r="D46" s="56">
        <v>29087</v>
      </c>
      <c r="E46" s="56">
        <v>8</v>
      </c>
      <c r="F46" s="56" t="s">
        <v>17</v>
      </c>
      <c r="G46" s="56" t="s">
        <v>107</v>
      </c>
      <c r="H46" s="56" t="s">
        <v>108</v>
      </c>
      <c r="I46" s="56" t="s">
        <v>147</v>
      </c>
      <c r="J46" s="56" t="s">
        <v>29</v>
      </c>
      <c r="K46" s="56">
        <v>41044</v>
      </c>
      <c r="L46" s="56"/>
      <c r="M46" s="56"/>
    </row>
    <row r="47" spans="1:13">
      <c r="A47" s="56">
        <v>47</v>
      </c>
      <c r="B47" s="56" t="s">
        <v>148</v>
      </c>
      <c r="C47" s="56" t="s">
        <v>149</v>
      </c>
      <c r="D47" s="56">
        <v>35713</v>
      </c>
      <c r="E47" s="56">
        <v>10</v>
      </c>
      <c r="F47" s="56" t="s">
        <v>17</v>
      </c>
      <c r="G47" s="56" t="s">
        <v>107</v>
      </c>
      <c r="H47" s="56" t="s">
        <v>108</v>
      </c>
      <c r="I47" s="56" t="s">
        <v>130</v>
      </c>
      <c r="J47" s="56" t="s">
        <v>29</v>
      </c>
      <c r="K47" s="56">
        <v>43797</v>
      </c>
      <c r="L47" s="56"/>
      <c r="M47" s="56"/>
    </row>
    <row r="48" spans="1:13">
      <c r="A48" s="56">
        <v>48</v>
      </c>
      <c r="B48" s="56" t="s">
        <v>150</v>
      </c>
      <c r="C48" s="56" t="s">
        <v>151</v>
      </c>
      <c r="D48" s="56">
        <v>36174</v>
      </c>
      <c r="E48" s="56">
        <v>1</v>
      </c>
      <c r="F48" s="56" t="s">
        <v>17</v>
      </c>
      <c r="G48" s="56" t="s">
        <v>107</v>
      </c>
      <c r="H48" s="56" t="s">
        <v>108</v>
      </c>
      <c r="I48" s="56" t="s">
        <v>133</v>
      </c>
      <c r="J48" s="56" t="s">
        <v>29</v>
      </c>
      <c r="K48" s="56">
        <v>44039</v>
      </c>
      <c r="L48" s="56"/>
      <c r="M48" s="56"/>
    </row>
    <row r="49" spans="1:13">
      <c r="A49" s="56">
        <v>49</v>
      </c>
      <c r="B49" s="56" t="s">
        <v>152</v>
      </c>
      <c r="C49" s="56" t="s">
        <v>153</v>
      </c>
      <c r="D49" s="56">
        <v>35215</v>
      </c>
      <c r="E49" s="56">
        <v>5</v>
      </c>
      <c r="F49" s="56" t="s">
        <v>17</v>
      </c>
      <c r="G49" s="56" t="s">
        <v>107</v>
      </c>
      <c r="H49" s="56" t="s">
        <v>108</v>
      </c>
      <c r="I49" s="56" t="s">
        <v>109</v>
      </c>
      <c r="J49" s="56" t="s">
        <v>29</v>
      </c>
      <c r="K49" s="56">
        <v>43283</v>
      </c>
      <c r="L49" s="56"/>
      <c r="M49" s="56"/>
    </row>
    <row r="50" spans="1:13">
      <c r="A50" s="56">
        <v>50</v>
      </c>
      <c r="B50" s="56" t="s">
        <v>154</v>
      </c>
      <c r="C50" s="56" t="s">
        <v>155</v>
      </c>
      <c r="D50" s="56">
        <v>35105</v>
      </c>
      <c r="E50" s="56">
        <v>2</v>
      </c>
      <c r="F50" s="56" t="s">
        <v>17</v>
      </c>
      <c r="G50" s="56" t="s">
        <v>107</v>
      </c>
      <c r="H50" s="56" t="s">
        <v>108</v>
      </c>
      <c r="I50" s="56" t="s">
        <v>133</v>
      </c>
      <c r="J50" s="56" t="s">
        <v>29</v>
      </c>
      <c r="K50" s="56">
        <v>42917</v>
      </c>
      <c r="L50" s="56"/>
      <c r="M50" s="56"/>
    </row>
    <row r="51" spans="1:13">
      <c r="A51" s="56">
        <v>51</v>
      </c>
      <c r="B51" s="56" t="s">
        <v>156</v>
      </c>
      <c r="C51" s="56" t="s">
        <v>157</v>
      </c>
      <c r="D51" s="56">
        <v>35818</v>
      </c>
      <c r="E51" s="56">
        <v>1</v>
      </c>
      <c r="F51" s="56" t="s">
        <v>17</v>
      </c>
      <c r="G51" s="56" t="s">
        <v>107</v>
      </c>
      <c r="H51" s="56" t="s">
        <v>108</v>
      </c>
      <c r="I51" s="56" t="s">
        <v>130</v>
      </c>
      <c r="J51" s="56" t="s">
        <v>29</v>
      </c>
      <c r="K51" s="56">
        <v>44085</v>
      </c>
      <c r="L51" s="56"/>
      <c r="M51" s="56" t="s">
        <v>158</v>
      </c>
    </row>
    <row r="52" spans="1:13">
      <c r="A52" s="56">
        <v>52</v>
      </c>
      <c r="B52" s="56" t="s">
        <v>159</v>
      </c>
      <c r="C52" s="56" t="s">
        <v>160</v>
      </c>
      <c r="D52" s="56">
        <v>36561</v>
      </c>
      <c r="E52" s="56">
        <v>2</v>
      </c>
      <c r="F52" s="56" t="s">
        <v>17</v>
      </c>
      <c r="G52" s="56" t="s">
        <v>107</v>
      </c>
      <c r="H52" s="56" t="s">
        <v>108</v>
      </c>
      <c r="I52" s="56" t="s">
        <v>127</v>
      </c>
      <c r="J52" s="56" t="s">
        <v>29</v>
      </c>
      <c r="K52" s="56">
        <v>44902</v>
      </c>
      <c r="L52" s="56"/>
      <c r="M52" s="56"/>
    </row>
    <row r="53" spans="1:13">
      <c r="A53" s="56">
        <v>53</v>
      </c>
      <c r="B53" s="56" t="s">
        <v>161</v>
      </c>
      <c r="C53" s="56" t="s">
        <v>162</v>
      </c>
      <c r="D53" s="56">
        <v>36823</v>
      </c>
      <c r="E53" s="56">
        <v>10</v>
      </c>
      <c r="F53" s="56" t="s">
        <v>17</v>
      </c>
      <c r="G53" s="56" t="s">
        <v>107</v>
      </c>
      <c r="H53" s="56" t="s">
        <v>108</v>
      </c>
      <c r="I53" s="56" t="s">
        <v>109</v>
      </c>
      <c r="J53" s="56" t="s">
        <v>29</v>
      </c>
      <c r="K53" s="56">
        <v>45019</v>
      </c>
      <c r="L53" s="56"/>
      <c r="M53" s="56"/>
    </row>
    <row r="54" spans="1:13">
      <c r="A54" s="56">
        <v>54</v>
      </c>
      <c r="B54" s="56" t="s">
        <v>163</v>
      </c>
      <c r="C54" s="56" t="s">
        <v>164</v>
      </c>
      <c r="D54" s="56">
        <v>30195</v>
      </c>
      <c r="E54" s="56">
        <v>9</v>
      </c>
      <c r="F54" s="56" t="s">
        <v>17</v>
      </c>
      <c r="G54" s="56" t="s">
        <v>107</v>
      </c>
      <c r="H54" s="56" t="s">
        <v>108</v>
      </c>
      <c r="I54" s="56" t="s">
        <v>133</v>
      </c>
      <c r="J54" s="56" t="s">
        <v>29</v>
      </c>
      <c r="K54" s="56">
        <v>42772</v>
      </c>
      <c r="L54" s="56" t="s">
        <v>59</v>
      </c>
      <c r="M54" s="56"/>
    </row>
    <row r="55" spans="1:13">
      <c r="A55" s="56">
        <v>55</v>
      </c>
      <c r="B55" s="56" t="s">
        <v>165</v>
      </c>
      <c r="C55" s="56" t="s">
        <v>166</v>
      </c>
      <c r="D55" s="56">
        <v>36445</v>
      </c>
      <c r="E55" s="56">
        <v>10</v>
      </c>
      <c r="F55" s="56" t="s">
        <v>17</v>
      </c>
      <c r="G55" s="56" t="s">
        <v>107</v>
      </c>
      <c r="H55" s="56" t="s">
        <v>108</v>
      </c>
      <c r="I55" s="56" t="s">
        <v>109</v>
      </c>
      <c r="J55" s="56" t="s">
        <v>29</v>
      </c>
      <c r="K55" s="56">
        <v>44715</v>
      </c>
      <c r="L55" s="56"/>
      <c r="M55" s="56"/>
    </row>
    <row r="56" spans="1:13">
      <c r="A56" s="56">
        <v>56</v>
      </c>
      <c r="B56" s="56" t="s">
        <v>167</v>
      </c>
      <c r="C56" s="56" t="s">
        <v>168</v>
      </c>
      <c r="D56" s="56">
        <v>29897</v>
      </c>
      <c r="E56" s="56">
        <v>11</v>
      </c>
      <c r="F56" s="56" t="s">
        <v>17</v>
      </c>
      <c r="G56" s="56" t="s">
        <v>107</v>
      </c>
      <c r="H56" s="56" t="s">
        <v>108</v>
      </c>
      <c r="I56" s="56" t="s">
        <v>169</v>
      </c>
      <c r="J56" s="56" t="s">
        <v>29</v>
      </c>
      <c r="K56" s="56">
        <v>44844</v>
      </c>
      <c r="L56" s="56"/>
      <c r="M56" s="56"/>
    </row>
    <row r="57" spans="1:13">
      <c r="A57" s="56">
        <v>57</v>
      </c>
      <c r="B57" s="56" t="s">
        <v>170</v>
      </c>
      <c r="C57" s="56" t="s">
        <v>171</v>
      </c>
      <c r="D57" s="56">
        <v>36021</v>
      </c>
      <c r="E57" s="56">
        <v>8</v>
      </c>
      <c r="F57" s="56" t="s">
        <v>17</v>
      </c>
      <c r="G57" s="56" t="s">
        <v>107</v>
      </c>
      <c r="H57" s="56" t="s">
        <v>108</v>
      </c>
      <c r="I57" s="56" t="s">
        <v>133</v>
      </c>
      <c r="J57" s="56" t="s">
        <v>29</v>
      </c>
      <c r="K57" s="56">
        <v>44298</v>
      </c>
      <c r="L57" s="56"/>
      <c r="M57" s="56"/>
    </row>
    <row r="58" spans="1:13">
      <c r="A58" s="56">
        <v>58</v>
      </c>
      <c r="B58" s="56" t="s">
        <v>172</v>
      </c>
      <c r="C58" s="56" t="s">
        <v>173</v>
      </c>
      <c r="D58" s="56">
        <v>35837</v>
      </c>
      <c r="E58" s="56">
        <v>2</v>
      </c>
      <c r="F58" s="56" t="s">
        <v>17</v>
      </c>
      <c r="G58" s="56" t="s">
        <v>107</v>
      </c>
      <c r="H58" s="56" t="s">
        <v>108</v>
      </c>
      <c r="I58" s="56" t="s">
        <v>174</v>
      </c>
      <c r="J58" s="56" t="s">
        <v>29</v>
      </c>
      <c r="K58" s="56">
        <v>43656</v>
      </c>
      <c r="L58" s="56"/>
      <c r="M58" s="56"/>
    </row>
    <row r="59" spans="1:13">
      <c r="A59" s="56">
        <v>59</v>
      </c>
      <c r="B59" s="56" t="s">
        <v>175</v>
      </c>
      <c r="C59" s="56" t="s">
        <v>176</v>
      </c>
      <c r="D59" s="56">
        <v>36662</v>
      </c>
      <c r="E59" s="56">
        <v>5</v>
      </c>
      <c r="F59" s="56" t="s">
        <v>17</v>
      </c>
      <c r="G59" s="56" t="s">
        <v>107</v>
      </c>
      <c r="H59" s="56" t="s">
        <v>108</v>
      </c>
      <c r="I59" s="56" t="s">
        <v>133</v>
      </c>
      <c r="J59" s="56" t="s">
        <v>29</v>
      </c>
      <c r="K59" s="56">
        <v>44837</v>
      </c>
      <c r="L59" s="56"/>
      <c r="M59" s="56"/>
    </row>
    <row r="60" spans="1:13">
      <c r="A60" s="56">
        <v>60</v>
      </c>
      <c r="B60" s="56" t="s">
        <v>177</v>
      </c>
      <c r="C60" s="56" t="s">
        <v>178</v>
      </c>
      <c r="D60" s="56">
        <v>31603</v>
      </c>
      <c r="E60" s="56">
        <v>7</v>
      </c>
      <c r="F60" s="56" t="s">
        <v>17</v>
      </c>
      <c r="G60" s="56" t="s">
        <v>107</v>
      </c>
      <c r="H60" s="56" t="s">
        <v>108</v>
      </c>
      <c r="I60" s="56" t="s">
        <v>169</v>
      </c>
      <c r="J60" s="56" t="s">
        <v>29</v>
      </c>
      <c r="K60" s="56">
        <v>41918</v>
      </c>
      <c r="L60" s="56"/>
      <c r="M60" s="56"/>
    </row>
    <row r="61" spans="1:13">
      <c r="A61" s="56">
        <v>61</v>
      </c>
      <c r="B61" s="56" t="s">
        <v>179</v>
      </c>
      <c r="C61" s="56" t="s">
        <v>180</v>
      </c>
      <c r="D61" s="56">
        <v>36621</v>
      </c>
      <c r="E61" s="56">
        <v>4</v>
      </c>
      <c r="F61" s="56" t="s">
        <v>17</v>
      </c>
      <c r="G61" s="56" t="s">
        <v>107</v>
      </c>
      <c r="H61" s="56" t="s">
        <v>108</v>
      </c>
      <c r="I61" s="56" t="s">
        <v>109</v>
      </c>
      <c r="J61" s="56" t="s">
        <v>29</v>
      </c>
      <c r="K61" s="56">
        <v>44897</v>
      </c>
      <c r="L61" s="56"/>
      <c r="M61" s="56"/>
    </row>
    <row r="62" spans="1:13">
      <c r="A62" s="56">
        <v>62</v>
      </c>
      <c r="B62" s="56" t="s">
        <v>181</v>
      </c>
      <c r="C62" s="56" t="s">
        <v>182</v>
      </c>
      <c r="D62" s="56">
        <v>35605</v>
      </c>
      <c r="E62" s="56">
        <v>6</v>
      </c>
      <c r="F62" s="56" t="s">
        <v>17</v>
      </c>
      <c r="G62" s="56" t="s">
        <v>107</v>
      </c>
      <c r="H62" s="56" t="s">
        <v>108</v>
      </c>
      <c r="I62" s="56" t="s">
        <v>183</v>
      </c>
      <c r="J62" s="56" t="s">
        <v>29</v>
      </c>
      <c r="K62" s="56">
        <v>45071</v>
      </c>
      <c r="L62" s="56"/>
      <c r="M62" s="56"/>
    </row>
    <row r="63" spans="1:13">
      <c r="A63" s="56">
        <v>63</v>
      </c>
      <c r="B63" s="56" t="s">
        <v>184</v>
      </c>
      <c r="C63" s="56" t="s">
        <v>185</v>
      </c>
      <c r="D63" s="56">
        <v>30939</v>
      </c>
      <c r="E63" s="56">
        <v>9</v>
      </c>
      <c r="F63" s="56" t="s">
        <v>17</v>
      </c>
      <c r="G63" s="56" t="s">
        <v>107</v>
      </c>
      <c r="H63" s="56" t="s">
        <v>108</v>
      </c>
      <c r="I63" s="56" t="s">
        <v>186</v>
      </c>
      <c r="J63" s="56" t="s">
        <v>29</v>
      </c>
      <c r="K63" s="56">
        <v>42271</v>
      </c>
      <c r="L63" s="56"/>
      <c r="M63" s="56"/>
    </row>
    <row r="64" spans="1:13">
      <c r="A64" s="56">
        <v>64</v>
      </c>
      <c r="B64" s="56" t="s">
        <v>187</v>
      </c>
      <c r="C64" s="56" t="s">
        <v>188</v>
      </c>
      <c r="D64" s="56">
        <v>36728</v>
      </c>
      <c r="E64" s="56">
        <v>7</v>
      </c>
      <c r="F64" s="56" t="s">
        <v>17</v>
      </c>
      <c r="G64" s="56" t="s">
        <v>107</v>
      </c>
      <c r="H64" s="56" t="s">
        <v>108</v>
      </c>
      <c r="I64" s="56" t="s">
        <v>133</v>
      </c>
      <c r="J64" s="56" t="s">
        <v>29</v>
      </c>
      <c r="K64" s="56">
        <v>44846</v>
      </c>
      <c r="L64" s="56"/>
      <c r="M64" s="56"/>
    </row>
    <row r="65" spans="1:13">
      <c r="A65" s="56">
        <v>65</v>
      </c>
      <c r="B65" s="56" t="s">
        <v>189</v>
      </c>
      <c r="C65" s="56" t="s">
        <v>190</v>
      </c>
      <c r="D65" s="56">
        <v>35485</v>
      </c>
      <c r="E65" s="56">
        <v>2</v>
      </c>
      <c r="F65" s="56" t="s">
        <v>17</v>
      </c>
      <c r="G65" s="56" t="s">
        <v>107</v>
      </c>
      <c r="H65" s="56" t="s">
        <v>108</v>
      </c>
      <c r="I65" s="56" t="s">
        <v>133</v>
      </c>
      <c r="J65" s="56" t="s">
        <v>29</v>
      </c>
      <c r="K65" s="56">
        <v>43922</v>
      </c>
      <c r="L65" s="56"/>
      <c r="M65" s="56"/>
    </row>
    <row r="66" spans="1:13">
      <c r="A66" s="56">
        <v>66</v>
      </c>
      <c r="B66" s="56" t="s">
        <v>191</v>
      </c>
      <c r="C66" s="56" t="s">
        <v>192</v>
      </c>
      <c r="D66" s="56">
        <v>36267</v>
      </c>
      <c r="E66" s="56">
        <v>4</v>
      </c>
      <c r="F66" s="56" t="s">
        <v>17</v>
      </c>
      <c r="G66" s="56" t="s">
        <v>107</v>
      </c>
      <c r="H66" s="56" t="s">
        <v>108</v>
      </c>
      <c r="I66" s="56" t="s">
        <v>109</v>
      </c>
      <c r="J66" s="56" t="s">
        <v>29</v>
      </c>
      <c r="K66" s="56">
        <v>45005</v>
      </c>
      <c r="L66" s="56"/>
      <c r="M66" s="56"/>
    </row>
    <row r="67" spans="1:13">
      <c r="A67" s="56">
        <v>67</v>
      </c>
      <c r="B67" s="56" t="s">
        <v>193</v>
      </c>
      <c r="C67" s="56" t="s">
        <v>194</v>
      </c>
      <c r="D67" s="56">
        <v>32387</v>
      </c>
      <c r="E67" s="56">
        <v>9</v>
      </c>
      <c r="F67" s="56" t="s">
        <v>17</v>
      </c>
      <c r="G67" s="56" t="s">
        <v>107</v>
      </c>
      <c r="H67" s="56" t="s">
        <v>108</v>
      </c>
      <c r="I67" s="56" t="s">
        <v>147</v>
      </c>
      <c r="J67" s="56" t="s">
        <v>29</v>
      </c>
      <c r="K67" s="56">
        <v>42090</v>
      </c>
      <c r="L67" s="56"/>
      <c r="M67" s="56"/>
    </row>
    <row r="68" spans="1:13">
      <c r="A68" s="56">
        <v>68</v>
      </c>
      <c r="B68" s="56" t="s">
        <v>195</v>
      </c>
      <c r="C68" s="56" t="s">
        <v>196</v>
      </c>
      <c r="D68" s="56">
        <v>31385</v>
      </c>
      <c r="E68" s="56">
        <v>12</v>
      </c>
      <c r="F68" s="56" t="s">
        <v>17</v>
      </c>
      <c r="G68" s="56" t="s">
        <v>107</v>
      </c>
      <c r="H68" s="56" t="s">
        <v>108</v>
      </c>
      <c r="I68" s="56" t="s">
        <v>147</v>
      </c>
      <c r="J68" s="56" t="s">
        <v>29</v>
      </c>
      <c r="K68" s="56">
        <v>42772</v>
      </c>
      <c r="L68" s="56"/>
      <c r="M68" s="56"/>
    </row>
    <row r="69" spans="1:13">
      <c r="A69" s="56">
        <v>69</v>
      </c>
      <c r="B69" s="56" t="s">
        <v>197</v>
      </c>
      <c r="C69" s="56" t="s">
        <v>198</v>
      </c>
      <c r="D69" s="56">
        <v>30246</v>
      </c>
      <c r="E69" s="56">
        <v>10</v>
      </c>
      <c r="F69" s="56" t="s">
        <v>17</v>
      </c>
      <c r="G69" s="56" t="s">
        <v>107</v>
      </c>
      <c r="H69" s="56" t="s">
        <v>108</v>
      </c>
      <c r="I69" s="56" t="s">
        <v>147</v>
      </c>
      <c r="J69" s="56" t="s">
        <v>49</v>
      </c>
      <c r="K69" s="56">
        <v>39600</v>
      </c>
      <c r="L69" s="56"/>
      <c r="M69" s="56"/>
    </row>
    <row r="70" spans="1:13">
      <c r="A70" s="56">
        <v>70</v>
      </c>
      <c r="B70" s="56" t="s">
        <v>199</v>
      </c>
      <c r="C70" s="56" t="s">
        <v>200</v>
      </c>
      <c r="D70" s="56">
        <v>32899</v>
      </c>
      <c r="E70" s="56">
        <v>1</v>
      </c>
      <c r="F70" s="56" t="s">
        <v>17</v>
      </c>
      <c r="G70" s="56" t="s">
        <v>107</v>
      </c>
      <c r="H70" s="56" t="s">
        <v>108</v>
      </c>
      <c r="I70" s="56" t="s">
        <v>133</v>
      </c>
      <c r="J70" s="56" t="s">
        <v>29</v>
      </c>
      <c r="K70" s="56">
        <v>41547</v>
      </c>
      <c r="L70" s="56"/>
      <c r="M70" s="56"/>
    </row>
    <row r="71" spans="1:13">
      <c r="A71" s="56">
        <v>71</v>
      </c>
      <c r="B71" s="56" t="s">
        <v>201</v>
      </c>
      <c r="C71" s="56" t="s">
        <v>202</v>
      </c>
      <c r="D71" s="56">
        <v>36852</v>
      </c>
      <c r="E71" s="56">
        <v>11</v>
      </c>
      <c r="F71" s="56" t="s">
        <v>17</v>
      </c>
      <c r="G71" s="56" t="s">
        <v>107</v>
      </c>
      <c r="H71" s="56" t="s">
        <v>108</v>
      </c>
      <c r="I71" s="56" t="s">
        <v>203</v>
      </c>
      <c r="J71" s="56" t="s">
        <v>29</v>
      </c>
      <c r="K71" s="56">
        <v>44634</v>
      </c>
      <c r="L71" s="56"/>
      <c r="M71" s="56"/>
    </row>
    <row r="72" spans="1:13">
      <c r="A72" s="56">
        <v>72</v>
      </c>
      <c r="B72" s="56" t="s">
        <v>204</v>
      </c>
      <c r="C72" s="56" t="s">
        <v>205</v>
      </c>
      <c r="D72" s="56">
        <v>31813</v>
      </c>
      <c r="E72" s="56">
        <v>2</v>
      </c>
      <c r="F72" s="56" t="s">
        <v>17</v>
      </c>
      <c r="G72" s="56" t="s">
        <v>107</v>
      </c>
      <c r="H72" s="56" t="s">
        <v>108</v>
      </c>
      <c r="I72" s="56" t="s">
        <v>206</v>
      </c>
      <c r="J72" s="56" t="s">
        <v>29</v>
      </c>
      <c r="K72" s="56">
        <v>43836</v>
      </c>
      <c r="L72" s="56"/>
      <c r="M72" s="56"/>
    </row>
    <row r="73" spans="1:13">
      <c r="A73" s="56">
        <v>73</v>
      </c>
      <c r="B73" s="56" t="s">
        <v>207</v>
      </c>
      <c r="C73" s="56" t="s">
        <v>208</v>
      </c>
      <c r="D73" s="56">
        <v>34083</v>
      </c>
      <c r="E73" s="56">
        <v>4</v>
      </c>
      <c r="F73" s="56" t="s">
        <v>17</v>
      </c>
      <c r="G73" s="56" t="s">
        <v>107</v>
      </c>
      <c r="H73" s="56" t="s">
        <v>108</v>
      </c>
      <c r="I73" s="56" t="s">
        <v>133</v>
      </c>
      <c r="J73" s="56" t="s">
        <v>29</v>
      </c>
      <c r="K73" s="56">
        <v>42296</v>
      </c>
      <c r="L73" s="56"/>
      <c r="M73" s="56"/>
    </row>
    <row r="74" spans="1:13">
      <c r="A74" s="56">
        <v>74</v>
      </c>
      <c r="B74" s="56" t="s">
        <v>209</v>
      </c>
      <c r="C74" s="56" t="s">
        <v>210</v>
      </c>
      <c r="D74" s="56">
        <v>36715</v>
      </c>
      <c r="E74" s="56">
        <v>7</v>
      </c>
      <c r="F74" s="56" t="s">
        <v>17</v>
      </c>
      <c r="G74" s="56" t="s">
        <v>107</v>
      </c>
      <c r="H74" s="56" t="s">
        <v>108</v>
      </c>
      <c r="I74" s="56" t="s">
        <v>109</v>
      </c>
      <c r="J74" s="56" t="s">
        <v>29</v>
      </c>
      <c r="K74" s="56">
        <v>44853</v>
      </c>
      <c r="L74" s="56"/>
      <c r="M74" s="56"/>
    </row>
    <row r="75" spans="1:13">
      <c r="A75" s="56">
        <v>75</v>
      </c>
      <c r="B75" s="56" t="s">
        <v>211</v>
      </c>
      <c r="C75" s="56" t="s">
        <v>212</v>
      </c>
      <c r="D75" s="56">
        <v>32441</v>
      </c>
      <c r="E75" s="56">
        <v>10</v>
      </c>
      <c r="F75" s="56" t="s">
        <v>17</v>
      </c>
      <c r="G75" s="56" t="s">
        <v>107</v>
      </c>
      <c r="H75" s="56" t="s">
        <v>108</v>
      </c>
      <c r="I75" s="56" t="s">
        <v>133</v>
      </c>
      <c r="J75" s="56" t="s">
        <v>29</v>
      </c>
      <c r="K75" s="56">
        <v>43115</v>
      </c>
      <c r="L75" s="56"/>
      <c r="M75" s="56"/>
    </row>
    <row r="76" spans="1:13">
      <c r="A76" s="56">
        <v>76</v>
      </c>
      <c r="B76" s="56" t="s">
        <v>213</v>
      </c>
      <c r="C76" s="56" t="s">
        <v>214</v>
      </c>
      <c r="D76" s="56">
        <v>36928</v>
      </c>
      <c r="E76" s="56">
        <v>2</v>
      </c>
      <c r="F76" s="56" t="s">
        <v>17</v>
      </c>
      <c r="G76" s="56" t="s">
        <v>107</v>
      </c>
      <c r="H76" s="56" t="s">
        <v>108</v>
      </c>
      <c r="I76" s="56" t="s">
        <v>109</v>
      </c>
      <c r="J76" s="56" t="s">
        <v>124</v>
      </c>
      <c r="K76" s="56">
        <v>45131</v>
      </c>
      <c r="L76" s="56"/>
      <c r="M76" s="56"/>
    </row>
    <row r="77" spans="1:13">
      <c r="A77" s="56">
        <v>77</v>
      </c>
      <c r="B77" s="56" t="s">
        <v>215</v>
      </c>
      <c r="C77" s="56" t="s">
        <v>216</v>
      </c>
      <c r="D77" s="56">
        <v>30124</v>
      </c>
      <c r="E77" s="56">
        <v>6</v>
      </c>
      <c r="F77" s="56" t="s">
        <v>17</v>
      </c>
      <c r="G77" s="56" t="s">
        <v>107</v>
      </c>
      <c r="H77" s="56" t="s">
        <v>18</v>
      </c>
      <c r="I77" s="56" t="s">
        <v>217</v>
      </c>
      <c r="J77" s="56" t="s">
        <v>99</v>
      </c>
      <c r="K77" s="56">
        <v>40983</v>
      </c>
      <c r="L77" s="56"/>
      <c r="M77" s="56"/>
    </row>
    <row r="78" spans="1:13">
      <c r="A78" s="56">
        <v>78</v>
      </c>
      <c r="B78" s="56" t="s">
        <v>218</v>
      </c>
      <c r="C78" s="56" t="s">
        <v>219</v>
      </c>
      <c r="D78" s="56">
        <v>29372</v>
      </c>
      <c r="E78" s="56">
        <v>5</v>
      </c>
      <c r="F78" s="56" t="s">
        <v>17</v>
      </c>
      <c r="G78" s="56" t="s">
        <v>107</v>
      </c>
      <c r="H78" s="56" t="s">
        <v>18</v>
      </c>
      <c r="I78" s="56" t="s">
        <v>220</v>
      </c>
      <c r="J78" s="56" t="s">
        <v>21</v>
      </c>
      <c r="K78" s="56">
        <v>38470</v>
      </c>
      <c r="L78" s="56"/>
      <c r="M78" s="56"/>
    </row>
    <row r="79" spans="1:13">
      <c r="A79" s="56">
        <v>79</v>
      </c>
      <c r="B79" s="56" t="s">
        <v>221</v>
      </c>
      <c r="C79" s="56" t="s">
        <v>222</v>
      </c>
      <c r="D79" s="56">
        <v>36839</v>
      </c>
      <c r="E79" s="56">
        <v>11</v>
      </c>
      <c r="F79" s="56" t="s">
        <v>17</v>
      </c>
      <c r="G79" s="56" t="s">
        <v>107</v>
      </c>
      <c r="H79" s="56" t="s">
        <v>108</v>
      </c>
      <c r="I79" s="56" t="s">
        <v>109</v>
      </c>
      <c r="J79" s="56" t="s">
        <v>29</v>
      </c>
      <c r="K79" s="56">
        <v>44714</v>
      </c>
      <c r="L79" s="56"/>
      <c r="M79" s="56"/>
    </row>
    <row r="80" spans="1:13">
      <c r="A80" s="56">
        <v>80</v>
      </c>
      <c r="B80" s="56" t="s">
        <v>223</v>
      </c>
      <c r="C80" s="56" t="s">
        <v>224</v>
      </c>
      <c r="D80" s="56">
        <v>29766</v>
      </c>
      <c r="E80" s="56">
        <v>6</v>
      </c>
      <c r="F80" s="56" t="s">
        <v>17</v>
      </c>
      <c r="G80" s="56" t="s">
        <v>107</v>
      </c>
      <c r="H80" s="56" t="s">
        <v>225</v>
      </c>
      <c r="I80" s="56" t="s">
        <v>226</v>
      </c>
      <c r="J80" s="56" t="s">
        <v>29</v>
      </c>
      <c r="K80" s="56">
        <v>39517</v>
      </c>
      <c r="L80" s="56" t="s">
        <v>59</v>
      </c>
      <c r="M80" s="56"/>
    </row>
    <row r="81" spans="1:13">
      <c r="A81" s="56">
        <v>81</v>
      </c>
      <c r="B81" s="56" t="s">
        <v>227</v>
      </c>
      <c r="C81" s="56" t="s">
        <v>228</v>
      </c>
      <c r="D81" s="56">
        <v>33244</v>
      </c>
      <c r="E81" s="56">
        <v>1</v>
      </c>
      <c r="F81" s="56" t="s">
        <v>17</v>
      </c>
      <c r="G81" s="56" t="s">
        <v>107</v>
      </c>
      <c r="H81" s="56" t="s">
        <v>225</v>
      </c>
      <c r="I81" s="56" t="s">
        <v>229</v>
      </c>
      <c r="J81" s="56" t="s">
        <v>29</v>
      </c>
      <c r="K81" s="56">
        <v>41932</v>
      </c>
      <c r="L81" s="56"/>
      <c r="M81" s="56"/>
    </row>
    <row r="82" spans="1:13">
      <c r="A82" s="56">
        <v>82</v>
      </c>
      <c r="B82" s="56" t="s">
        <v>230</v>
      </c>
      <c r="C82" s="56" t="s">
        <v>231</v>
      </c>
      <c r="D82" s="56">
        <v>35090</v>
      </c>
      <c r="E82" s="56">
        <v>1</v>
      </c>
      <c r="F82" s="56" t="s">
        <v>17</v>
      </c>
      <c r="G82" s="56" t="s">
        <v>107</v>
      </c>
      <c r="H82" s="56" t="s">
        <v>225</v>
      </c>
      <c r="I82" s="56" t="s">
        <v>229</v>
      </c>
      <c r="J82" s="56" t="s">
        <v>29</v>
      </c>
      <c r="K82" s="56">
        <v>43941</v>
      </c>
      <c r="L82" s="56"/>
      <c r="M82" s="56"/>
    </row>
    <row r="83" spans="1:13">
      <c r="A83" s="56">
        <v>83</v>
      </c>
      <c r="B83" s="56" t="s">
        <v>232</v>
      </c>
      <c r="C83" s="56" t="s">
        <v>233</v>
      </c>
      <c r="D83" s="56">
        <v>35351</v>
      </c>
      <c r="E83" s="56">
        <v>10</v>
      </c>
      <c r="F83" s="56" t="s">
        <v>17</v>
      </c>
      <c r="G83" s="56" t="s">
        <v>107</v>
      </c>
      <c r="H83" s="56" t="s">
        <v>225</v>
      </c>
      <c r="I83" s="56" t="s">
        <v>234</v>
      </c>
      <c r="J83" s="56" t="s">
        <v>29</v>
      </c>
      <c r="K83" s="56">
        <v>44613</v>
      </c>
      <c r="L83" s="56"/>
      <c r="M83" s="56"/>
    </row>
    <row r="84" spans="1:13">
      <c r="A84" s="56">
        <v>84</v>
      </c>
      <c r="B84" s="56" t="s">
        <v>235</v>
      </c>
      <c r="C84" s="56" t="s">
        <v>236</v>
      </c>
      <c r="D84" s="56">
        <v>33999</v>
      </c>
      <c r="E84" s="56">
        <v>1</v>
      </c>
      <c r="F84" s="56" t="s">
        <v>17</v>
      </c>
      <c r="G84" s="56" t="s">
        <v>107</v>
      </c>
      <c r="H84" s="56" t="s">
        <v>225</v>
      </c>
      <c r="I84" s="56" t="s">
        <v>237</v>
      </c>
      <c r="J84" s="56" t="s">
        <v>29</v>
      </c>
      <c r="K84" s="56">
        <v>44692</v>
      </c>
      <c r="L84" s="56"/>
      <c r="M84" s="56"/>
    </row>
    <row r="85" spans="1:13">
      <c r="A85" s="56">
        <v>85</v>
      </c>
      <c r="B85" s="56" t="s">
        <v>238</v>
      </c>
      <c r="C85" s="56" t="s">
        <v>239</v>
      </c>
      <c r="D85" s="56">
        <v>27806</v>
      </c>
      <c r="E85" s="56">
        <v>2</v>
      </c>
      <c r="F85" s="56" t="s">
        <v>17</v>
      </c>
      <c r="G85" s="56" t="s">
        <v>107</v>
      </c>
      <c r="H85" s="56" t="s">
        <v>240</v>
      </c>
      <c r="I85" s="56" t="s">
        <v>241</v>
      </c>
      <c r="J85" s="56" t="s">
        <v>49</v>
      </c>
      <c r="K85" s="56">
        <v>40046</v>
      </c>
      <c r="L85" s="56" t="s">
        <v>59</v>
      </c>
      <c r="M85" s="56"/>
    </row>
    <row r="86" spans="1:13">
      <c r="A86" s="56">
        <v>86</v>
      </c>
      <c r="B86" s="56" t="s">
        <v>242</v>
      </c>
      <c r="C86" s="56" t="s">
        <v>243</v>
      </c>
      <c r="D86" s="56">
        <v>30631</v>
      </c>
      <c r="E86" s="56">
        <v>11</v>
      </c>
      <c r="F86" s="56" t="s">
        <v>17</v>
      </c>
      <c r="G86" s="56" t="s">
        <v>107</v>
      </c>
      <c r="H86" s="56" t="s">
        <v>240</v>
      </c>
      <c r="I86" s="56" t="s">
        <v>237</v>
      </c>
      <c r="J86" s="56" t="s">
        <v>29</v>
      </c>
      <c r="K86" s="56">
        <v>42931</v>
      </c>
      <c r="L86" s="56" t="s">
        <v>59</v>
      </c>
      <c r="M86" s="56"/>
    </row>
    <row r="87" spans="1:13">
      <c r="A87" s="56">
        <v>87</v>
      </c>
      <c r="B87" s="56" t="s">
        <v>244</v>
      </c>
      <c r="C87" s="56" t="s">
        <v>245</v>
      </c>
      <c r="D87" s="56">
        <v>35573</v>
      </c>
      <c r="E87" s="56">
        <v>5</v>
      </c>
      <c r="F87" s="56" t="s">
        <v>17</v>
      </c>
      <c r="G87" s="56" t="s">
        <v>107</v>
      </c>
      <c r="H87" s="56" t="s">
        <v>240</v>
      </c>
      <c r="I87" s="56" t="s">
        <v>246</v>
      </c>
      <c r="J87" s="56" t="s">
        <v>29</v>
      </c>
      <c r="K87" s="56">
        <v>43556</v>
      </c>
      <c r="L87" s="56" t="s">
        <v>59</v>
      </c>
      <c r="M87" s="56"/>
    </row>
    <row r="88" spans="1:13">
      <c r="A88" s="56">
        <v>88</v>
      </c>
      <c r="B88" s="56" t="s">
        <v>247</v>
      </c>
      <c r="C88" s="56" t="s">
        <v>248</v>
      </c>
      <c r="D88" s="56">
        <v>34575</v>
      </c>
      <c r="E88" s="56">
        <v>8</v>
      </c>
      <c r="F88" s="56" t="s">
        <v>17</v>
      </c>
      <c r="G88" s="56" t="s">
        <v>107</v>
      </c>
      <c r="H88" s="56" t="s">
        <v>240</v>
      </c>
      <c r="I88" s="56" t="s">
        <v>246</v>
      </c>
      <c r="J88" s="56" t="s">
        <v>29</v>
      </c>
      <c r="K88" s="56">
        <v>43313</v>
      </c>
      <c r="L88" s="56" t="s">
        <v>59</v>
      </c>
      <c r="M88" s="56"/>
    </row>
    <row r="89" spans="1:13">
      <c r="A89" s="56">
        <v>89</v>
      </c>
      <c r="B89" s="56" t="s">
        <v>249</v>
      </c>
      <c r="C89" s="56" t="s">
        <v>250</v>
      </c>
      <c r="D89" s="56">
        <v>32881</v>
      </c>
      <c r="E89" s="56">
        <v>1</v>
      </c>
      <c r="F89" s="56" t="s">
        <v>17</v>
      </c>
      <c r="G89" s="56" t="s">
        <v>107</v>
      </c>
      <c r="H89" s="56" t="s">
        <v>240</v>
      </c>
      <c r="I89" s="56" t="s">
        <v>246</v>
      </c>
      <c r="J89" s="56" t="s">
        <v>29</v>
      </c>
      <c r="K89" s="56">
        <v>41555</v>
      </c>
      <c r="L89" s="56" t="s">
        <v>59</v>
      </c>
      <c r="M89" s="56"/>
    </row>
    <row r="90" spans="1:13">
      <c r="A90" s="56">
        <v>90</v>
      </c>
      <c r="B90" s="56" t="s">
        <v>251</v>
      </c>
      <c r="C90" s="56" t="s">
        <v>252</v>
      </c>
      <c r="D90" s="56">
        <v>34949</v>
      </c>
      <c r="E90" s="56">
        <v>9</v>
      </c>
      <c r="F90" s="56" t="s">
        <v>17</v>
      </c>
      <c r="G90" s="56" t="s">
        <v>107</v>
      </c>
      <c r="H90" s="56" t="s">
        <v>240</v>
      </c>
      <c r="I90" s="56" t="s">
        <v>246</v>
      </c>
      <c r="J90" s="56" t="s">
        <v>29</v>
      </c>
      <c r="K90" s="56">
        <v>45001</v>
      </c>
      <c r="L90" s="56" t="s">
        <v>59</v>
      </c>
      <c r="M90" s="56"/>
    </row>
    <row r="91" spans="1:13">
      <c r="A91" s="56">
        <v>91</v>
      </c>
      <c r="B91" s="56" t="s">
        <v>253</v>
      </c>
      <c r="C91" s="56" t="s">
        <v>254</v>
      </c>
      <c r="D91" s="56">
        <v>33320</v>
      </c>
      <c r="E91" s="56">
        <v>3</v>
      </c>
      <c r="F91" s="56" t="s">
        <v>17</v>
      </c>
      <c r="G91" s="56" t="s">
        <v>107</v>
      </c>
      <c r="H91" s="56" t="s">
        <v>240</v>
      </c>
      <c r="I91" s="56" t="s">
        <v>246</v>
      </c>
      <c r="J91" s="56" t="s">
        <v>29</v>
      </c>
      <c r="K91" s="56">
        <v>41961</v>
      </c>
      <c r="L91" s="56" t="s">
        <v>59</v>
      </c>
      <c r="M91" s="56"/>
    </row>
    <row r="92" spans="1:13">
      <c r="A92" s="56">
        <v>92</v>
      </c>
      <c r="B92" s="56" t="s">
        <v>255</v>
      </c>
      <c r="C92" s="56" t="s">
        <v>256</v>
      </c>
      <c r="D92" s="56">
        <v>29952</v>
      </c>
      <c r="E92" s="56">
        <v>1</v>
      </c>
      <c r="F92" s="56" t="s">
        <v>17</v>
      </c>
      <c r="G92" s="56" t="s">
        <v>107</v>
      </c>
      <c r="H92" s="56" t="s">
        <v>240</v>
      </c>
      <c r="I92" s="56" t="s">
        <v>246</v>
      </c>
      <c r="J92" s="56" t="s">
        <v>29</v>
      </c>
      <c r="K92" s="56">
        <v>41260</v>
      </c>
      <c r="L92" s="56" t="s">
        <v>59</v>
      </c>
      <c r="M92" s="56"/>
    </row>
    <row r="93" spans="1:13">
      <c r="A93" s="56">
        <v>93</v>
      </c>
      <c r="B93" s="56" t="s">
        <v>257</v>
      </c>
      <c r="C93" s="56" t="s">
        <v>258</v>
      </c>
      <c r="D93" s="56">
        <v>28169</v>
      </c>
      <c r="E93" s="56">
        <v>2</v>
      </c>
      <c r="F93" s="56" t="s">
        <v>17</v>
      </c>
      <c r="G93" s="56" t="s">
        <v>107</v>
      </c>
      <c r="H93" s="56" t="s">
        <v>240</v>
      </c>
      <c r="I93" s="56" t="s">
        <v>246</v>
      </c>
      <c r="J93" s="56" t="s">
        <v>99</v>
      </c>
      <c r="K93" s="56">
        <v>40046</v>
      </c>
      <c r="L93" s="56" t="s">
        <v>59</v>
      </c>
      <c r="M93" s="56"/>
    </row>
    <row r="94" spans="1:13">
      <c r="A94" s="56">
        <v>94</v>
      </c>
      <c r="B94" s="56" t="s">
        <v>259</v>
      </c>
      <c r="C94" s="56" t="s">
        <v>260</v>
      </c>
      <c r="D94" s="56">
        <v>28975</v>
      </c>
      <c r="E94" s="56">
        <v>4</v>
      </c>
      <c r="F94" s="56" t="s">
        <v>17</v>
      </c>
      <c r="G94" s="56" t="s">
        <v>107</v>
      </c>
      <c r="H94" s="56" t="s">
        <v>261</v>
      </c>
      <c r="I94" s="56" t="s">
        <v>262</v>
      </c>
      <c r="J94" s="56" t="s">
        <v>49</v>
      </c>
      <c r="K94" s="56">
        <v>40203</v>
      </c>
      <c r="L94" s="56"/>
      <c r="M94" s="56"/>
    </row>
    <row r="95" spans="1:13">
      <c r="A95" s="56">
        <v>95</v>
      </c>
      <c r="B95" s="56" t="s">
        <v>263</v>
      </c>
      <c r="C95" s="56" t="s">
        <v>264</v>
      </c>
      <c r="D95" s="56">
        <v>29792</v>
      </c>
      <c r="E95" s="56">
        <v>7</v>
      </c>
      <c r="F95" s="56" t="s">
        <v>17</v>
      </c>
      <c r="G95" s="56" t="s">
        <v>107</v>
      </c>
      <c r="H95" s="56" t="s">
        <v>261</v>
      </c>
      <c r="I95" s="56" t="s">
        <v>262</v>
      </c>
      <c r="J95" s="56" t="s">
        <v>29</v>
      </c>
      <c r="K95" s="56">
        <v>42828</v>
      </c>
      <c r="L95" s="56" t="s">
        <v>59</v>
      </c>
      <c r="M95" s="56"/>
    </row>
    <row r="96" spans="1:13">
      <c r="A96" s="56">
        <v>96</v>
      </c>
      <c r="B96" s="56" t="s">
        <v>265</v>
      </c>
      <c r="C96" s="56" t="s">
        <v>266</v>
      </c>
      <c r="D96" s="56">
        <v>34292</v>
      </c>
      <c r="E96" s="56">
        <v>11</v>
      </c>
      <c r="F96" s="56" t="s">
        <v>17</v>
      </c>
      <c r="G96" s="56" t="s">
        <v>107</v>
      </c>
      <c r="H96" s="56" t="s">
        <v>261</v>
      </c>
      <c r="I96" s="56" t="s">
        <v>262</v>
      </c>
      <c r="J96" s="56" t="s">
        <v>29</v>
      </c>
      <c r="K96" s="56">
        <v>42716</v>
      </c>
      <c r="L96" s="56" t="s">
        <v>59</v>
      </c>
      <c r="M96" s="56"/>
    </row>
    <row r="97" spans="1:13">
      <c r="A97" s="56">
        <v>97</v>
      </c>
      <c r="B97" s="56" t="s">
        <v>267</v>
      </c>
      <c r="C97" s="56" t="s">
        <v>268</v>
      </c>
      <c r="D97" s="56">
        <v>35320</v>
      </c>
      <c r="E97" s="56">
        <v>9</v>
      </c>
      <c r="F97" s="56" t="s">
        <v>17</v>
      </c>
      <c r="G97" s="56" t="s">
        <v>107</v>
      </c>
      <c r="H97" s="56" t="s">
        <v>269</v>
      </c>
      <c r="I97" s="56" t="s">
        <v>174</v>
      </c>
      <c r="J97" s="56" t="s">
        <v>29</v>
      </c>
      <c r="K97" s="56">
        <v>45054</v>
      </c>
      <c r="L97" s="56"/>
      <c r="M97" s="56"/>
    </row>
    <row r="98" spans="1:13">
      <c r="A98" s="56">
        <v>98</v>
      </c>
      <c r="B98" s="56" t="s">
        <v>270</v>
      </c>
      <c r="C98" s="56" t="s">
        <v>271</v>
      </c>
      <c r="D98" s="56">
        <v>34992</v>
      </c>
      <c r="E98" s="56">
        <v>10</v>
      </c>
      <c r="F98" s="56" t="s">
        <v>17</v>
      </c>
      <c r="G98" s="56" t="s">
        <v>272</v>
      </c>
      <c r="H98" s="56" t="s">
        <v>269</v>
      </c>
      <c r="I98" s="56" t="s">
        <v>183</v>
      </c>
      <c r="J98" s="56" t="s">
        <v>29</v>
      </c>
      <c r="K98" s="56">
        <v>43634</v>
      </c>
      <c r="L98" s="56"/>
      <c r="M98" s="56"/>
    </row>
    <row r="99" spans="1:13">
      <c r="A99" s="56">
        <v>99</v>
      </c>
      <c r="B99" s="56" t="s">
        <v>273</v>
      </c>
      <c r="C99" s="56" t="s">
        <v>274</v>
      </c>
      <c r="D99" s="56">
        <v>33263</v>
      </c>
      <c r="E99" s="56">
        <v>1</v>
      </c>
      <c r="F99" s="56" t="s">
        <v>17</v>
      </c>
      <c r="G99" s="56" t="s">
        <v>272</v>
      </c>
      <c r="H99" s="56" t="s">
        <v>269</v>
      </c>
      <c r="I99" s="56" t="s">
        <v>275</v>
      </c>
      <c r="J99" s="56" t="s">
        <v>29</v>
      </c>
      <c r="K99" s="56">
        <v>42020</v>
      </c>
      <c r="L99" s="56"/>
      <c r="M99" s="56"/>
    </row>
    <row r="100" spans="1:13">
      <c r="A100" s="56">
        <v>100</v>
      </c>
      <c r="B100" s="56" t="s">
        <v>276</v>
      </c>
      <c r="C100" s="56" t="s">
        <v>277</v>
      </c>
      <c r="D100" s="56">
        <v>34994</v>
      </c>
      <c r="E100" s="56">
        <v>10</v>
      </c>
      <c r="F100" s="56" t="s">
        <v>17</v>
      </c>
      <c r="G100" s="56" t="s">
        <v>107</v>
      </c>
      <c r="H100" s="56" t="s">
        <v>269</v>
      </c>
      <c r="I100" s="56" t="s">
        <v>183</v>
      </c>
      <c r="J100" s="56" t="s">
        <v>29</v>
      </c>
      <c r="K100" s="56">
        <v>43647</v>
      </c>
      <c r="L100" s="56"/>
      <c r="M100" s="56"/>
    </row>
    <row r="101" spans="1:13">
      <c r="A101" s="56">
        <v>101</v>
      </c>
      <c r="B101" s="56" t="s">
        <v>278</v>
      </c>
      <c r="C101" s="56" t="s">
        <v>279</v>
      </c>
      <c r="D101" s="56">
        <v>34902</v>
      </c>
      <c r="E101" s="56">
        <v>7</v>
      </c>
      <c r="F101" s="56" t="s">
        <v>17</v>
      </c>
      <c r="G101" s="56" t="s">
        <v>107</v>
      </c>
      <c r="H101" s="56" t="s">
        <v>269</v>
      </c>
      <c r="I101" s="56" t="s">
        <v>174</v>
      </c>
      <c r="J101" s="56" t="s">
        <v>29</v>
      </c>
      <c r="K101" s="56">
        <v>43654</v>
      </c>
      <c r="L101" s="56"/>
      <c r="M101" s="56"/>
    </row>
    <row r="102" spans="1:13">
      <c r="A102" s="56">
        <v>102</v>
      </c>
      <c r="B102" s="56" t="s">
        <v>280</v>
      </c>
      <c r="C102" s="56" t="s">
        <v>281</v>
      </c>
      <c r="D102" s="56">
        <v>35809</v>
      </c>
      <c r="E102" s="56">
        <v>1</v>
      </c>
      <c r="F102" s="56" t="s">
        <v>17</v>
      </c>
      <c r="G102" s="56" t="s">
        <v>107</v>
      </c>
      <c r="H102" s="56" t="s">
        <v>269</v>
      </c>
      <c r="I102" s="56" t="s">
        <v>133</v>
      </c>
      <c r="J102" s="56" t="s">
        <v>29</v>
      </c>
      <c r="K102" s="56">
        <v>44693</v>
      </c>
      <c r="L102" s="56"/>
      <c r="M102" s="56"/>
    </row>
    <row r="103" spans="1:13">
      <c r="A103" s="56">
        <v>103</v>
      </c>
      <c r="B103" s="56" t="s">
        <v>282</v>
      </c>
      <c r="C103" s="56" t="s">
        <v>283</v>
      </c>
      <c r="D103" s="56">
        <v>31926</v>
      </c>
      <c r="E103" s="56">
        <v>5</v>
      </c>
      <c r="F103" s="56" t="s">
        <v>17</v>
      </c>
      <c r="G103" s="56" t="s">
        <v>107</v>
      </c>
      <c r="H103" s="56" t="s">
        <v>269</v>
      </c>
      <c r="I103" s="56" t="s">
        <v>284</v>
      </c>
      <c r="J103" s="56" t="s">
        <v>29</v>
      </c>
      <c r="K103" s="56">
        <v>40476</v>
      </c>
      <c r="L103" s="56"/>
      <c r="M103" s="56"/>
    </row>
    <row r="104" spans="1:13">
      <c r="A104" s="56">
        <v>104</v>
      </c>
      <c r="B104" s="56" t="s">
        <v>285</v>
      </c>
      <c r="C104" s="56" t="s">
        <v>286</v>
      </c>
      <c r="D104" s="56">
        <v>33676</v>
      </c>
      <c r="E104" s="56">
        <v>3</v>
      </c>
      <c r="F104" s="56" t="s">
        <v>17</v>
      </c>
      <c r="G104" s="56" t="s">
        <v>107</v>
      </c>
      <c r="H104" s="56" t="s">
        <v>269</v>
      </c>
      <c r="I104" s="56" t="s">
        <v>174</v>
      </c>
      <c r="J104" s="56" t="s">
        <v>29</v>
      </c>
      <c r="K104" s="56">
        <v>43332</v>
      </c>
      <c r="L104" s="56"/>
      <c r="M104" s="56"/>
    </row>
    <row r="105" spans="1:13">
      <c r="A105" s="56">
        <v>105</v>
      </c>
      <c r="B105" s="56" t="s">
        <v>287</v>
      </c>
      <c r="C105" s="56" t="s">
        <v>288</v>
      </c>
      <c r="D105" s="56">
        <v>34937</v>
      </c>
      <c r="E105" s="56">
        <v>8</v>
      </c>
      <c r="F105" s="56" t="s">
        <v>17</v>
      </c>
      <c r="G105" s="56" t="s">
        <v>107</v>
      </c>
      <c r="H105" s="56" t="s">
        <v>269</v>
      </c>
      <c r="I105" s="56" t="s">
        <v>183</v>
      </c>
      <c r="J105" s="56" t="s">
        <v>29</v>
      </c>
      <c r="K105" s="56">
        <v>43719</v>
      </c>
      <c r="L105" s="56"/>
      <c r="M105" s="56"/>
    </row>
    <row r="106" spans="1:13">
      <c r="A106" s="56">
        <v>106</v>
      </c>
      <c r="B106" s="56" t="s">
        <v>289</v>
      </c>
      <c r="C106" s="56" t="s">
        <v>290</v>
      </c>
      <c r="D106" s="56">
        <v>33026</v>
      </c>
      <c r="E106" s="56">
        <v>6</v>
      </c>
      <c r="F106" s="56" t="s">
        <v>17</v>
      </c>
      <c r="G106" s="56" t="s">
        <v>107</v>
      </c>
      <c r="H106" s="56" t="s">
        <v>269</v>
      </c>
      <c r="I106" s="56" t="s">
        <v>183</v>
      </c>
      <c r="J106" s="56" t="s">
        <v>29</v>
      </c>
      <c r="K106" s="56">
        <v>44081</v>
      </c>
      <c r="L106" s="56"/>
      <c r="M106" s="56"/>
    </row>
    <row r="107" spans="1:13">
      <c r="A107" s="56">
        <v>107</v>
      </c>
      <c r="B107" s="56" t="s">
        <v>291</v>
      </c>
      <c r="C107" s="56" t="s">
        <v>292</v>
      </c>
      <c r="D107" s="56">
        <v>30913</v>
      </c>
      <c r="E107" s="56">
        <v>8</v>
      </c>
      <c r="F107" s="56" t="s">
        <v>17</v>
      </c>
      <c r="G107" s="56" t="s">
        <v>107</v>
      </c>
      <c r="H107" s="56" t="s">
        <v>225</v>
      </c>
      <c r="I107" s="56" t="s">
        <v>226</v>
      </c>
      <c r="J107" s="56" t="s">
        <v>29</v>
      </c>
      <c r="K107" s="56">
        <v>39360</v>
      </c>
      <c r="L107" s="56"/>
      <c r="M107" s="56"/>
    </row>
    <row r="108" spans="1:13">
      <c r="A108" s="56">
        <v>108</v>
      </c>
      <c r="B108" s="56" t="s">
        <v>293</v>
      </c>
      <c r="C108" s="56" t="s">
        <v>294</v>
      </c>
      <c r="D108" s="56">
        <v>29475</v>
      </c>
      <c r="E108" s="56">
        <v>9</v>
      </c>
      <c r="F108" s="56" t="s">
        <v>17</v>
      </c>
      <c r="G108" s="56" t="s">
        <v>272</v>
      </c>
      <c r="H108" s="56" t="s">
        <v>18</v>
      </c>
      <c r="I108" s="56" t="s">
        <v>295</v>
      </c>
      <c r="J108" s="56" t="s">
        <v>29</v>
      </c>
      <c r="K108" s="56">
        <v>41885</v>
      </c>
      <c r="L108" s="56"/>
      <c r="M108" s="56"/>
    </row>
    <row r="109" spans="1:13">
      <c r="A109" s="56">
        <v>109</v>
      </c>
      <c r="B109" s="56" t="s">
        <v>296</v>
      </c>
      <c r="C109" s="56" t="s">
        <v>297</v>
      </c>
      <c r="D109" s="56">
        <v>37146</v>
      </c>
      <c r="E109" s="56">
        <v>9</v>
      </c>
      <c r="F109" s="56" t="s">
        <v>17</v>
      </c>
      <c r="G109" s="56" t="s">
        <v>272</v>
      </c>
      <c r="H109" s="56" t="s">
        <v>298</v>
      </c>
      <c r="I109" s="56" t="s">
        <v>127</v>
      </c>
      <c r="J109" s="56" t="s">
        <v>124</v>
      </c>
      <c r="K109" s="56">
        <v>45124</v>
      </c>
      <c r="L109" s="56"/>
      <c r="M109" s="56"/>
    </row>
    <row r="110" spans="1:13">
      <c r="A110" s="56">
        <v>110</v>
      </c>
      <c r="B110" s="56" t="s">
        <v>299</v>
      </c>
      <c r="C110" s="56" t="s">
        <v>300</v>
      </c>
      <c r="D110" s="56">
        <v>36847</v>
      </c>
      <c r="E110" s="56">
        <v>11</v>
      </c>
      <c r="F110" s="56" t="s">
        <v>17</v>
      </c>
      <c r="G110" s="56" t="s">
        <v>272</v>
      </c>
      <c r="H110" s="56" t="s">
        <v>298</v>
      </c>
      <c r="I110" s="56" t="s">
        <v>246</v>
      </c>
      <c r="J110" s="56" t="s">
        <v>29</v>
      </c>
      <c r="K110" s="56">
        <v>44809</v>
      </c>
      <c r="L110" s="56"/>
      <c r="M110" s="56"/>
    </row>
    <row r="111" spans="1:13">
      <c r="A111" s="56">
        <v>111</v>
      </c>
      <c r="B111" s="56" t="s">
        <v>301</v>
      </c>
      <c r="C111" s="56" t="s">
        <v>302</v>
      </c>
      <c r="D111" s="56">
        <v>33365</v>
      </c>
      <c r="E111" s="56">
        <v>5</v>
      </c>
      <c r="F111" s="56" t="s">
        <v>17</v>
      </c>
      <c r="G111" s="56" t="s">
        <v>272</v>
      </c>
      <c r="H111" s="56" t="s">
        <v>298</v>
      </c>
      <c r="I111" s="56" t="s">
        <v>303</v>
      </c>
      <c r="J111" s="56" t="s">
        <v>29</v>
      </c>
      <c r="K111" s="56">
        <v>41932</v>
      </c>
      <c r="L111" s="56"/>
      <c r="M111" s="56"/>
    </row>
    <row r="112" spans="1:13">
      <c r="A112" s="56">
        <v>112</v>
      </c>
      <c r="B112" s="56" t="s">
        <v>304</v>
      </c>
      <c r="C112" s="56" t="s">
        <v>305</v>
      </c>
      <c r="D112" s="56">
        <v>32212</v>
      </c>
      <c r="E112" s="56">
        <v>3</v>
      </c>
      <c r="F112" s="56" t="s">
        <v>17</v>
      </c>
      <c r="G112" s="56" t="s">
        <v>272</v>
      </c>
      <c r="H112" s="56" t="s">
        <v>298</v>
      </c>
      <c r="I112" s="56" t="s">
        <v>306</v>
      </c>
      <c r="J112" s="56" t="s">
        <v>29</v>
      </c>
      <c r="K112" s="56">
        <v>40889</v>
      </c>
      <c r="L112" s="56"/>
      <c r="M112" s="56"/>
    </row>
    <row r="113" spans="1:13">
      <c r="A113" s="56">
        <v>113</v>
      </c>
      <c r="B113" s="56" t="s">
        <v>307</v>
      </c>
      <c r="C113" s="56" t="s">
        <v>308</v>
      </c>
      <c r="D113" s="56">
        <v>33539</v>
      </c>
      <c r="E113" s="56">
        <v>10</v>
      </c>
      <c r="F113" s="56" t="s">
        <v>17</v>
      </c>
      <c r="G113" s="56" t="s">
        <v>272</v>
      </c>
      <c r="H113" s="56" t="s">
        <v>298</v>
      </c>
      <c r="I113" s="56" t="s">
        <v>309</v>
      </c>
      <c r="J113" s="56" t="s">
        <v>29</v>
      </c>
      <c r="K113" s="56">
        <v>41834</v>
      </c>
      <c r="L113" s="56"/>
      <c r="M113" s="56"/>
    </row>
    <row r="114" spans="1:13">
      <c r="A114" s="56">
        <v>114</v>
      </c>
      <c r="B114" s="56" t="s">
        <v>310</v>
      </c>
      <c r="C114" s="56" t="s">
        <v>311</v>
      </c>
      <c r="D114" s="56">
        <v>36167</v>
      </c>
      <c r="E114" s="56">
        <v>1</v>
      </c>
      <c r="F114" s="56" t="s">
        <v>17</v>
      </c>
      <c r="G114" s="56" t="s">
        <v>272</v>
      </c>
      <c r="H114" s="56" t="s">
        <v>298</v>
      </c>
      <c r="I114" s="56" t="s">
        <v>127</v>
      </c>
      <c r="J114" s="56" t="s">
        <v>29</v>
      </c>
      <c r="K114" s="56">
        <v>44860</v>
      </c>
      <c r="L114" s="56"/>
      <c r="M114" s="56"/>
    </row>
    <row r="115" spans="1:13">
      <c r="A115" s="56">
        <v>115</v>
      </c>
      <c r="B115" s="56" t="s">
        <v>312</v>
      </c>
      <c r="C115" s="56" t="s">
        <v>313</v>
      </c>
      <c r="D115" s="56">
        <v>34410</v>
      </c>
      <c r="E115" s="56">
        <v>3</v>
      </c>
      <c r="F115" s="56" t="s">
        <v>17</v>
      </c>
      <c r="G115" s="56" t="s">
        <v>272</v>
      </c>
      <c r="H115" s="56" t="s">
        <v>298</v>
      </c>
      <c r="I115" s="56" t="s">
        <v>309</v>
      </c>
      <c r="J115" s="56" t="s">
        <v>29</v>
      </c>
      <c r="K115" s="56">
        <v>44342</v>
      </c>
      <c r="L115" s="56"/>
      <c r="M115" s="56"/>
    </row>
    <row r="116" spans="1:13">
      <c r="A116" s="56">
        <v>116</v>
      </c>
      <c r="B116" s="56" t="s">
        <v>314</v>
      </c>
      <c r="C116" s="56" t="s">
        <v>315</v>
      </c>
      <c r="D116" s="56">
        <v>36419</v>
      </c>
      <c r="E116" s="56">
        <v>9</v>
      </c>
      <c r="F116" s="56" t="s">
        <v>17</v>
      </c>
      <c r="G116" s="56" t="s">
        <v>272</v>
      </c>
      <c r="H116" s="56" t="s">
        <v>298</v>
      </c>
      <c r="I116" s="56" t="s">
        <v>127</v>
      </c>
      <c r="J116" s="56" t="s">
        <v>29</v>
      </c>
      <c r="K116" s="56">
        <v>44874</v>
      </c>
      <c r="L116" s="56"/>
      <c r="M116" s="56"/>
    </row>
    <row r="117" spans="1:13">
      <c r="A117" s="56">
        <v>117</v>
      </c>
      <c r="B117" s="56" t="s">
        <v>316</v>
      </c>
      <c r="C117" s="56" t="s">
        <v>317</v>
      </c>
      <c r="D117" s="56">
        <v>36647</v>
      </c>
      <c r="E117" s="56">
        <v>5</v>
      </c>
      <c r="F117" s="56" t="s">
        <v>17</v>
      </c>
      <c r="G117" s="56" t="s">
        <v>272</v>
      </c>
      <c r="H117" s="56" t="s">
        <v>298</v>
      </c>
      <c r="I117" s="56" t="s">
        <v>127</v>
      </c>
      <c r="J117" s="56" t="s">
        <v>29</v>
      </c>
      <c r="K117" s="56">
        <v>44756</v>
      </c>
      <c r="L117" s="56"/>
      <c r="M117" s="56"/>
    </row>
    <row r="118" spans="1:13">
      <c r="A118" s="56">
        <v>118</v>
      </c>
      <c r="B118" s="56" t="s">
        <v>318</v>
      </c>
      <c r="C118" s="56" t="s">
        <v>319</v>
      </c>
      <c r="D118" s="56">
        <v>37210</v>
      </c>
      <c r="E118" s="56">
        <v>11</v>
      </c>
      <c r="F118" s="56" t="s">
        <v>17</v>
      </c>
      <c r="G118" s="56" t="s">
        <v>272</v>
      </c>
      <c r="H118" s="56" t="s">
        <v>298</v>
      </c>
      <c r="I118" s="56" t="s">
        <v>127</v>
      </c>
      <c r="J118" s="56" t="s">
        <v>124</v>
      </c>
      <c r="K118" s="56">
        <v>45124</v>
      </c>
      <c r="L118" s="56"/>
      <c r="M118" s="56"/>
    </row>
    <row r="119" spans="1:13">
      <c r="A119" s="56">
        <v>119</v>
      </c>
      <c r="B119" s="56" t="s">
        <v>320</v>
      </c>
      <c r="C119" s="56" t="s">
        <v>321</v>
      </c>
      <c r="D119" s="56">
        <v>35678</v>
      </c>
      <c r="E119" s="56">
        <v>9</v>
      </c>
      <c r="F119" s="56" t="s">
        <v>17</v>
      </c>
      <c r="G119" s="56" t="s">
        <v>272</v>
      </c>
      <c r="H119" s="56" t="s">
        <v>298</v>
      </c>
      <c r="I119" s="56" t="s">
        <v>127</v>
      </c>
      <c r="J119" s="56" t="s">
        <v>29</v>
      </c>
      <c r="K119" s="56">
        <v>44502</v>
      </c>
      <c r="L119" s="56"/>
      <c r="M119" s="56"/>
    </row>
    <row r="120" spans="1:13">
      <c r="A120" s="56">
        <v>120</v>
      </c>
      <c r="B120" s="56" t="s">
        <v>322</v>
      </c>
      <c r="C120" s="56" t="s">
        <v>323</v>
      </c>
      <c r="D120" s="56">
        <v>36698</v>
      </c>
      <c r="E120" s="56">
        <v>6</v>
      </c>
      <c r="F120" s="56" t="s">
        <v>17</v>
      </c>
      <c r="G120" s="56" t="s">
        <v>272</v>
      </c>
      <c r="H120" s="56" t="s">
        <v>298</v>
      </c>
      <c r="I120" s="56" t="s">
        <v>127</v>
      </c>
      <c r="J120" s="56" t="s">
        <v>29</v>
      </c>
      <c r="K120" s="56">
        <v>44809</v>
      </c>
      <c r="L120" s="56"/>
      <c r="M120" s="56"/>
    </row>
    <row r="121" spans="1:13">
      <c r="A121" s="56">
        <v>121</v>
      </c>
      <c r="B121" s="56" t="s">
        <v>324</v>
      </c>
      <c r="C121" s="56" t="s">
        <v>325</v>
      </c>
      <c r="D121" s="56">
        <v>36937</v>
      </c>
      <c r="E121" s="56">
        <v>2</v>
      </c>
      <c r="F121" s="56" t="s">
        <v>17</v>
      </c>
      <c r="G121" s="56" t="s">
        <v>272</v>
      </c>
      <c r="H121" s="56" t="s">
        <v>326</v>
      </c>
      <c r="I121" s="56" t="s">
        <v>133</v>
      </c>
      <c r="J121" s="56" t="s">
        <v>124</v>
      </c>
      <c r="K121" s="56">
        <v>45124</v>
      </c>
      <c r="L121" s="56"/>
      <c r="M121" s="56"/>
    </row>
    <row r="122" spans="1:13">
      <c r="A122" s="56">
        <v>122</v>
      </c>
      <c r="B122" s="56" t="s">
        <v>327</v>
      </c>
      <c r="C122" s="56" t="s">
        <v>328</v>
      </c>
      <c r="D122" s="56">
        <v>29533</v>
      </c>
      <c r="E122" s="56">
        <v>11</v>
      </c>
      <c r="F122" s="56" t="s">
        <v>17</v>
      </c>
      <c r="G122" s="56" t="s">
        <v>272</v>
      </c>
      <c r="H122" s="56" t="s">
        <v>326</v>
      </c>
      <c r="I122" s="56" t="s">
        <v>147</v>
      </c>
      <c r="J122" s="56" t="s">
        <v>29</v>
      </c>
      <c r="K122" s="56">
        <v>42219</v>
      </c>
      <c r="L122" s="56"/>
      <c r="M122" s="56"/>
    </row>
    <row r="123" spans="1:13">
      <c r="A123" s="56">
        <v>123</v>
      </c>
      <c r="B123" s="56" t="s">
        <v>329</v>
      </c>
      <c r="C123" s="56" t="s">
        <v>132</v>
      </c>
      <c r="D123" s="56">
        <v>35722</v>
      </c>
      <c r="E123" s="56">
        <v>10</v>
      </c>
      <c r="F123" s="56" t="s">
        <v>17</v>
      </c>
      <c r="G123" s="56" t="s">
        <v>272</v>
      </c>
      <c r="H123" s="56" t="s">
        <v>326</v>
      </c>
      <c r="I123" s="56" t="s">
        <v>127</v>
      </c>
      <c r="J123" s="56" t="s">
        <v>29</v>
      </c>
      <c r="K123" s="56">
        <v>44166</v>
      </c>
      <c r="L123" s="56"/>
      <c r="M123" s="56"/>
    </row>
    <row r="124" spans="1:13">
      <c r="A124" s="56">
        <v>124</v>
      </c>
      <c r="B124" s="56" t="s">
        <v>330</v>
      </c>
      <c r="C124" s="56" t="s">
        <v>331</v>
      </c>
      <c r="D124" s="56">
        <v>36054</v>
      </c>
      <c r="E124" s="56">
        <v>9</v>
      </c>
      <c r="F124" s="56" t="s">
        <v>17</v>
      </c>
      <c r="G124" s="56" t="s">
        <v>272</v>
      </c>
      <c r="H124" s="56" t="s">
        <v>326</v>
      </c>
      <c r="I124" s="56" t="s">
        <v>133</v>
      </c>
      <c r="J124" s="56" t="s">
        <v>29</v>
      </c>
      <c r="K124" s="56">
        <v>44502</v>
      </c>
      <c r="L124" s="56"/>
      <c r="M124" s="56"/>
    </row>
    <row r="125" spans="1:13">
      <c r="A125" s="56">
        <v>125</v>
      </c>
      <c r="B125" s="56" t="s">
        <v>332</v>
      </c>
      <c r="C125" s="56" t="s">
        <v>333</v>
      </c>
      <c r="D125" s="56">
        <v>35551</v>
      </c>
      <c r="E125" s="56">
        <v>5</v>
      </c>
      <c r="F125" s="56" t="s">
        <v>17</v>
      </c>
      <c r="G125" s="56" t="s">
        <v>272</v>
      </c>
      <c r="H125" s="56" t="s">
        <v>326</v>
      </c>
      <c r="I125" s="56" t="s">
        <v>127</v>
      </c>
      <c r="J125" s="56" t="s">
        <v>29</v>
      </c>
      <c r="K125" s="56">
        <v>44053</v>
      </c>
      <c r="L125" s="56"/>
      <c r="M125" s="56"/>
    </row>
    <row r="126" spans="1:13">
      <c r="A126" s="56">
        <v>126</v>
      </c>
      <c r="B126" s="56" t="s">
        <v>334</v>
      </c>
      <c r="C126" s="56" t="s">
        <v>335</v>
      </c>
      <c r="D126" s="56">
        <v>37500</v>
      </c>
      <c r="E126" s="56">
        <v>9</v>
      </c>
      <c r="F126" s="56" t="s">
        <v>17</v>
      </c>
      <c r="G126" s="56" t="s">
        <v>272</v>
      </c>
      <c r="H126" s="56" t="s">
        <v>326</v>
      </c>
      <c r="I126" s="56" t="s">
        <v>133</v>
      </c>
      <c r="J126" s="56" t="s">
        <v>124</v>
      </c>
      <c r="K126" s="56">
        <v>45124</v>
      </c>
      <c r="L126" s="56"/>
      <c r="M126" s="56"/>
    </row>
    <row r="127" spans="1:13">
      <c r="A127" s="56">
        <v>127</v>
      </c>
      <c r="B127" s="56" t="s">
        <v>336</v>
      </c>
      <c r="C127" s="56" t="s">
        <v>337</v>
      </c>
      <c r="D127" s="56">
        <v>35019</v>
      </c>
      <c r="E127" s="56">
        <v>11</v>
      </c>
      <c r="F127" s="56" t="s">
        <v>17</v>
      </c>
      <c r="G127" s="56" t="s">
        <v>272</v>
      </c>
      <c r="H127" s="56" t="s">
        <v>326</v>
      </c>
      <c r="I127" s="56" t="s">
        <v>133</v>
      </c>
      <c r="J127" s="56" t="s">
        <v>29</v>
      </c>
      <c r="K127" s="56">
        <v>43654</v>
      </c>
      <c r="L127" s="56"/>
      <c r="M127" s="56"/>
    </row>
    <row r="128" spans="1:13">
      <c r="A128" s="56">
        <v>128</v>
      </c>
      <c r="B128" s="56" t="s">
        <v>338</v>
      </c>
      <c r="C128" s="56" t="s">
        <v>339</v>
      </c>
      <c r="D128" s="56">
        <v>36013</v>
      </c>
      <c r="E128" s="56">
        <v>8</v>
      </c>
      <c r="F128" s="56" t="s">
        <v>17</v>
      </c>
      <c r="G128" s="56" t="s">
        <v>272</v>
      </c>
      <c r="H128" s="56" t="s">
        <v>326</v>
      </c>
      <c r="I128" s="56" t="s">
        <v>174</v>
      </c>
      <c r="J128" s="56" t="s">
        <v>29</v>
      </c>
      <c r="K128" s="56">
        <v>45061</v>
      </c>
      <c r="L128" s="56"/>
      <c r="M128" s="56"/>
    </row>
    <row r="129" spans="1:13">
      <c r="A129" s="56">
        <v>129</v>
      </c>
      <c r="B129" s="56" t="s">
        <v>340</v>
      </c>
      <c r="C129" s="56" t="s">
        <v>341</v>
      </c>
      <c r="D129" s="56">
        <v>35365</v>
      </c>
      <c r="E129" s="56">
        <v>10</v>
      </c>
      <c r="F129" s="56" t="s">
        <v>17</v>
      </c>
      <c r="G129" s="56" t="s">
        <v>272</v>
      </c>
      <c r="H129" s="56" t="s">
        <v>326</v>
      </c>
      <c r="I129" s="56" t="s">
        <v>342</v>
      </c>
      <c r="J129" s="56" t="s">
        <v>99</v>
      </c>
      <c r="K129" s="56">
        <v>43878</v>
      </c>
      <c r="L129" s="56"/>
      <c r="M129" s="56"/>
    </row>
    <row r="130" spans="1:13">
      <c r="A130" s="56">
        <v>130</v>
      </c>
      <c r="B130" s="56" t="s">
        <v>343</v>
      </c>
      <c r="C130" s="56" t="s">
        <v>344</v>
      </c>
      <c r="D130" s="56">
        <v>36534</v>
      </c>
      <c r="E130" s="56">
        <v>1</v>
      </c>
      <c r="F130" s="56" t="s">
        <v>17</v>
      </c>
      <c r="G130" s="56" t="s">
        <v>272</v>
      </c>
      <c r="H130" s="56" t="s">
        <v>326</v>
      </c>
      <c r="I130" s="56" t="s">
        <v>133</v>
      </c>
      <c r="J130" s="56" t="s">
        <v>29</v>
      </c>
      <c r="K130" s="56">
        <v>44760</v>
      </c>
      <c r="L130" s="56"/>
      <c r="M130" s="56"/>
    </row>
    <row r="131" spans="1:13">
      <c r="A131" s="56">
        <v>131</v>
      </c>
      <c r="B131" s="56" t="s">
        <v>345</v>
      </c>
      <c r="C131" s="56" t="s">
        <v>346</v>
      </c>
      <c r="D131" s="56">
        <v>34260</v>
      </c>
      <c r="E131" s="56">
        <v>10</v>
      </c>
      <c r="F131" s="56" t="s">
        <v>17</v>
      </c>
      <c r="G131" s="56" t="s">
        <v>272</v>
      </c>
      <c r="H131" s="56" t="s">
        <v>326</v>
      </c>
      <c r="I131" s="56" t="s">
        <v>133</v>
      </c>
      <c r="J131" s="56" t="s">
        <v>29</v>
      </c>
      <c r="K131" s="56">
        <v>43087</v>
      </c>
      <c r="L131" s="56"/>
      <c r="M131" s="56"/>
    </row>
    <row r="132" spans="1:13">
      <c r="A132" s="56">
        <v>132</v>
      </c>
      <c r="B132" s="56" t="s">
        <v>347</v>
      </c>
      <c r="C132" s="56" t="s">
        <v>348</v>
      </c>
      <c r="D132" s="56">
        <v>37080</v>
      </c>
      <c r="E132" s="56">
        <v>7</v>
      </c>
      <c r="F132" s="56" t="s">
        <v>17</v>
      </c>
      <c r="G132" s="56" t="s">
        <v>272</v>
      </c>
      <c r="H132" s="56" t="s">
        <v>326</v>
      </c>
      <c r="I132" s="56" t="s">
        <v>133</v>
      </c>
      <c r="J132" s="56" t="s">
        <v>124</v>
      </c>
      <c r="K132" s="56">
        <v>45124</v>
      </c>
      <c r="L132" s="56"/>
      <c r="M132" s="56"/>
    </row>
    <row r="133" spans="1:13">
      <c r="A133" s="56">
        <v>133</v>
      </c>
      <c r="B133" s="56" t="s">
        <v>349</v>
      </c>
      <c r="C133" s="56" t="s">
        <v>350</v>
      </c>
      <c r="D133" s="56">
        <v>35816</v>
      </c>
      <c r="E133" s="56">
        <v>1</v>
      </c>
      <c r="F133" s="56" t="s">
        <v>17</v>
      </c>
      <c r="G133" s="56" t="s">
        <v>272</v>
      </c>
      <c r="H133" s="56" t="s">
        <v>326</v>
      </c>
      <c r="I133" s="56" t="s">
        <v>174</v>
      </c>
      <c r="J133" s="56" t="s">
        <v>29</v>
      </c>
      <c r="K133" s="56">
        <v>45054</v>
      </c>
      <c r="L133" s="56"/>
      <c r="M133" s="56"/>
    </row>
    <row r="134" spans="1:13">
      <c r="A134" s="56">
        <v>134</v>
      </c>
      <c r="B134" s="56" t="s">
        <v>351</v>
      </c>
      <c r="C134" s="56" t="s">
        <v>352</v>
      </c>
      <c r="D134" s="56">
        <v>35010</v>
      </c>
      <c r="E134" s="56">
        <v>11</v>
      </c>
      <c r="F134" s="56" t="s">
        <v>17</v>
      </c>
      <c r="G134" s="56" t="s">
        <v>272</v>
      </c>
      <c r="H134" s="56" t="s">
        <v>326</v>
      </c>
      <c r="I134" s="56" t="s">
        <v>133</v>
      </c>
      <c r="J134" s="56" t="s">
        <v>29</v>
      </c>
      <c r="K134" s="56">
        <v>45001</v>
      </c>
      <c r="L134" s="56"/>
      <c r="M134" s="56"/>
    </row>
    <row r="135" spans="1:13">
      <c r="A135" s="56">
        <v>135</v>
      </c>
      <c r="B135" s="56" t="s">
        <v>353</v>
      </c>
      <c r="C135" s="56" t="s">
        <v>354</v>
      </c>
      <c r="D135" s="56">
        <v>36427</v>
      </c>
      <c r="E135" s="56">
        <v>9</v>
      </c>
      <c r="F135" s="56" t="s">
        <v>17</v>
      </c>
      <c r="G135" s="56" t="s">
        <v>355</v>
      </c>
      <c r="H135" s="56" t="s">
        <v>108</v>
      </c>
      <c r="I135" s="56" t="s">
        <v>169</v>
      </c>
      <c r="J135" s="56" t="s">
        <v>140</v>
      </c>
      <c r="K135" s="56">
        <v>45177</v>
      </c>
      <c r="L135" s="56"/>
      <c r="M135" s="56"/>
    </row>
    <row r="136" spans="1:13">
      <c r="A136" s="56">
        <v>136</v>
      </c>
      <c r="B136" s="56" t="s">
        <v>356</v>
      </c>
      <c r="C136" s="56" t="s">
        <v>357</v>
      </c>
      <c r="D136" s="56">
        <v>33227</v>
      </c>
      <c r="E136" s="56">
        <v>12</v>
      </c>
      <c r="F136" s="56" t="s">
        <v>17</v>
      </c>
      <c r="G136" s="56" t="s">
        <v>355</v>
      </c>
      <c r="H136" s="56" t="s">
        <v>108</v>
      </c>
      <c r="I136" s="56" t="s">
        <v>358</v>
      </c>
      <c r="J136" s="56" t="s">
        <v>29</v>
      </c>
      <c r="K136" s="56">
        <v>43283</v>
      </c>
      <c r="L136" s="56"/>
      <c r="M136" s="56"/>
    </row>
    <row r="137" spans="1:13">
      <c r="A137" s="56">
        <v>137</v>
      </c>
      <c r="B137" s="56" t="s">
        <v>359</v>
      </c>
      <c r="C137" s="56" t="s">
        <v>360</v>
      </c>
      <c r="D137" s="56">
        <v>34809</v>
      </c>
      <c r="E137" s="56">
        <v>4</v>
      </c>
      <c r="F137" s="56" t="s">
        <v>17</v>
      </c>
      <c r="G137" s="56" t="s">
        <v>355</v>
      </c>
      <c r="H137" s="56" t="s">
        <v>108</v>
      </c>
      <c r="I137" s="56" t="s">
        <v>358</v>
      </c>
      <c r="J137" s="56" t="s">
        <v>29</v>
      </c>
      <c r="K137" s="56">
        <v>44166</v>
      </c>
      <c r="L137" s="56"/>
      <c r="M137" s="56"/>
    </row>
    <row r="138" spans="1:13">
      <c r="A138" s="56">
        <v>138</v>
      </c>
      <c r="B138" s="56" t="s">
        <v>361</v>
      </c>
      <c r="C138" s="56" t="s">
        <v>362</v>
      </c>
      <c r="D138" s="56">
        <v>36693</v>
      </c>
      <c r="E138" s="56">
        <v>6</v>
      </c>
      <c r="F138" s="56" t="s">
        <v>17</v>
      </c>
      <c r="G138" s="56" t="s">
        <v>355</v>
      </c>
      <c r="H138" s="56" t="s">
        <v>108</v>
      </c>
      <c r="I138" s="56" t="s">
        <v>169</v>
      </c>
      <c r="J138" s="56" t="s">
        <v>29</v>
      </c>
      <c r="K138" s="56">
        <v>44900</v>
      </c>
      <c r="L138" s="56"/>
      <c r="M138" s="56"/>
    </row>
    <row r="139" spans="1:13">
      <c r="A139" s="56">
        <v>139</v>
      </c>
      <c r="B139" s="56" t="s">
        <v>363</v>
      </c>
      <c r="C139" s="56" t="s">
        <v>364</v>
      </c>
      <c r="D139" s="56">
        <v>34505</v>
      </c>
      <c r="E139" s="56">
        <v>6</v>
      </c>
      <c r="F139" s="56" t="s">
        <v>17</v>
      </c>
      <c r="G139" s="56" t="s">
        <v>355</v>
      </c>
      <c r="H139" s="56" t="s">
        <v>108</v>
      </c>
      <c r="I139" s="56" t="s">
        <v>365</v>
      </c>
      <c r="J139" s="56" t="s">
        <v>29</v>
      </c>
      <c r="K139" s="56">
        <v>43907</v>
      </c>
      <c r="L139" s="56"/>
      <c r="M139" s="56"/>
    </row>
    <row r="140" spans="1:13">
      <c r="A140" s="56">
        <v>140</v>
      </c>
      <c r="B140" s="56" t="s">
        <v>366</v>
      </c>
      <c r="C140" s="56" t="s">
        <v>367</v>
      </c>
      <c r="D140" s="56">
        <v>36234</v>
      </c>
      <c r="E140" s="56">
        <v>3</v>
      </c>
      <c r="F140" s="56" t="s">
        <v>17</v>
      </c>
      <c r="G140" s="56" t="s">
        <v>355</v>
      </c>
      <c r="H140" s="56" t="s">
        <v>108</v>
      </c>
      <c r="I140" s="56" t="s">
        <v>365</v>
      </c>
      <c r="J140" s="56" t="s">
        <v>29</v>
      </c>
      <c r="K140" s="56">
        <v>44824</v>
      </c>
      <c r="L140" s="56"/>
      <c r="M140" s="56"/>
    </row>
    <row r="141" spans="1:13">
      <c r="A141" s="56">
        <v>141</v>
      </c>
      <c r="B141" s="56" t="s">
        <v>368</v>
      </c>
      <c r="C141" s="56" t="s">
        <v>369</v>
      </c>
      <c r="D141" s="56">
        <v>31457</v>
      </c>
      <c r="E141" s="56">
        <v>2</v>
      </c>
      <c r="F141" s="56" t="s">
        <v>17</v>
      </c>
      <c r="G141" s="56" t="s">
        <v>355</v>
      </c>
      <c r="H141" s="56" t="s">
        <v>108</v>
      </c>
      <c r="I141" s="56" t="s">
        <v>370</v>
      </c>
      <c r="J141" s="56" t="s">
        <v>29</v>
      </c>
      <c r="K141" s="56">
        <v>44081</v>
      </c>
      <c r="L141" s="56"/>
      <c r="M141" s="56"/>
    </row>
    <row r="142" spans="1:13">
      <c r="A142" s="56">
        <v>142</v>
      </c>
      <c r="B142" s="56" t="s">
        <v>371</v>
      </c>
      <c r="C142" s="56" t="s">
        <v>372</v>
      </c>
      <c r="D142" s="56">
        <v>34603</v>
      </c>
      <c r="E142" s="56">
        <v>9</v>
      </c>
      <c r="F142" s="56" t="s">
        <v>17</v>
      </c>
      <c r="G142" s="56" t="s">
        <v>355</v>
      </c>
      <c r="H142" s="56" t="s">
        <v>108</v>
      </c>
      <c r="I142" s="56" t="s">
        <v>373</v>
      </c>
      <c r="J142" s="56" t="s">
        <v>29</v>
      </c>
      <c r="K142" s="56">
        <v>43356</v>
      </c>
      <c r="L142" s="56"/>
      <c r="M142" s="56"/>
    </row>
    <row r="143" spans="1:13">
      <c r="A143" s="56">
        <v>143</v>
      </c>
      <c r="B143" s="56" t="s">
        <v>374</v>
      </c>
      <c r="C143" s="56" t="s">
        <v>375</v>
      </c>
      <c r="D143" s="56">
        <v>35808</v>
      </c>
      <c r="E143" s="56">
        <v>1</v>
      </c>
      <c r="F143" s="56" t="s">
        <v>17</v>
      </c>
      <c r="G143" s="56" t="s">
        <v>355</v>
      </c>
      <c r="H143" s="56" t="s">
        <v>108</v>
      </c>
      <c r="I143" s="56" t="s">
        <v>365</v>
      </c>
      <c r="J143" s="56" t="s">
        <v>29</v>
      </c>
      <c r="K143" s="56">
        <v>44105</v>
      </c>
      <c r="L143" s="56"/>
      <c r="M143" s="56"/>
    </row>
    <row r="144" spans="1:13">
      <c r="A144" s="56">
        <v>144</v>
      </c>
      <c r="B144" s="56" t="s">
        <v>376</v>
      </c>
      <c r="C144" s="56" t="s">
        <v>377</v>
      </c>
      <c r="D144" s="56">
        <v>33184</v>
      </c>
      <c r="E144" s="56">
        <v>11</v>
      </c>
      <c r="F144" s="56" t="s">
        <v>17</v>
      </c>
      <c r="G144" s="56" t="s">
        <v>355</v>
      </c>
      <c r="H144" s="56" t="s">
        <v>108</v>
      </c>
      <c r="I144" s="56" t="s">
        <v>365</v>
      </c>
      <c r="J144" s="56" t="s">
        <v>29</v>
      </c>
      <c r="K144" s="56">
        <v>45019</v>
      </c>
      <c r="L144" s="56"/>
      <c r="M144" s="56"/>
    </row>
    <row r="145" spans="1:13">
      <c r="A145" s="56">
        <v>145</v>
      </c>
      <c r="B145" s="56" t="s">
        <v>378</v>
      </c>
      <c r="C145" s="56" t="s">
        <v>379</v>
      </c>
      <c r="D145" s="56">
        <v>32088</v>
      </c>
      <c r="E145" s="56">
        <v>11</v>
      </c>
      <c r="F145" s="56" t="s">
        <v>17</v>
      </c>
      <c r="G145" s="56" t="s">
        <v>355</v>
      </c>
      <c r="H145" s="56" t="s">
        <v>108</v>
      </c>
      <c r="I145" s="56" t="s">
        <v>370</v>
      </c>
      <c r="J145" s="56" t="s">
        <v>29</v>
      </c>
      <c r="K145" s="56">
        <v>43782</v>
      </c>
      <c r="L145" s="56"/>
      <c r="M145" s="56"/>
    </row>
    <row r="146" spans="1:13">
      <c r="A146" s="56">
        <v>146</v>
      </c>
      <c r="B146" s="56" t="s">
        <v>380</v>
      </c>
      <c r="C146" s="56" t="s">
        <v>381</v>
      </c>
      <c r="D146" s="56">
        <v>36816</v>
      </c>
      <c r="E146" s="56">
        <v>10</v>
      </c>
      <c r="F146" s="56" t="s">
        <v>17</v>
      </c>
      <c r="G146" s="56" t="s">
        <v>355</v>
      </c>
      <c r="H146" s="56" t="s">
        <v>108</v>
      </c>
      <c r="I146" s="56" t="s">
        <v>373</v>
      </c>
      <c r="J146" s="56" t="s">
        <v>124</v>
      </c>
      <c r="K146" s="56">
        <v>45085</v>
      </c>
      <c r="L146" s="56"/>
      <c r="M146" s="56"/>
    </row>
    <row r="147" spans="1:13">
      <c r="A147" s="56">
        <v>147</v>
      </c>
      <c r="B147" s="56" t="s">
        <v>382</v>
      </c>
      <c r="C147" s="56" t="s">
        <v>383</v>
      </c>
      <c r="D147" s="56">
        <v>30618</v>
      </c>
      <c r="E147" s="56">
        <v>10</v>
      </c>
      <c r="F147" s="56" t="s">
        <v>17</v>
      </c>
      <c r="G147" s="56" t="s">
        <v>355</v>
      </c>
      <c r="H147" s="56" t="s">
        <v>108</v>
      </c>
      <c r="I147" s="56" t="s">
        <v>117</v>
      </c>
      <c r="J147" s="56" t="s">
        <v>29</v>
      </c>
      <c r="K147" s="56">
        <v>44256</v>
      </c>
      <c r="L147" s="56"/>
      <c r="M147" s="56"/>
    </row>
    <row r="148" spans="1:13">
      <c r="A148" s="56">
        <v>148</v>
      </c>
      <c r="B148" s="56" t="s">
        <v>384</v>
      </c>
      <c r="C148" s="56" t="s">
        <v>385</v>
      </c>
      <c r="D148" s="56">
        <v>32531</v>
      </c>
      <c r="E148" s="56">
        <v>1</v>
      </c>
      <c r="F148" s="56" t="s">
        <v>17</v>
      </c>
      <c r="G148" s="56" t="s">
        <v>355</v>
      </c>
      <c r="H148" s="56" t="s">
        <v>108</v>
      </c>
      <c r="I148" s="56" t="s">
        <v>114</v>
      </c>
      <c r="J148" s="56" t="s">
        <v>29</v>
      </c>
      <c r="K148" s="56">
        <v>43374</v>
      </c>
      <c r="L148" s="56"/>
      <c r="M148" s="56"/>
    </row>
    <row r="149" spans="1:13">
      <c r="A149" s="56">
        <v>149</v>
      </c>
      <c r="B149" s="56" t="s">
        <v>386</v>
      </c>
      <c r="C149" s="56" t="s">
        <v>387</v>
      </c>
      <c r="D149" s="56">
        <v>35733</v>
      </c>
      <c r="E149" s="56">
        <v>10</v>
      </c>
      <c r="F149" s="56" t="s">
        <v>17</v>
      </c>
      <c r="G149" s="56" t="s">
        <v>355</v>
      </c>
      <c r="H149" s="56" t="s">
        <v>108</v>
      </c>
      <c r="I149" s="56" t="s">
        <v>365</v>
      </c>
      <c r="J149" s="56" t="s">
        <v>29</v>
      </c>
      <c r="K149" s="56">
        <v>44088</v>
      </c>
      <c r="L149" s="56"/>
      <c r="M149" s="56"/>
    </row>
    <row r="150" spans="1:13">
      <c r="A150" s="56">
        <v>150</v>
      </c>
      <c r="B150" s="56" t="s">
        <v>388</v>
      </c>
      <c r="C150" s="56" t="s">
        <v>389</v>
      </c>
      <c r="D150" s="56">
        <v>34039</v>
      </c>
      <c r="E150" s="56">
        <v>3</v>
      </c>
      <c r="F150" s="56" t="s">
        <v>17</v>
      </c>
      <c r="G150" s="56" t="s">
        <v>355</v>
      </c>
      <c r="H150" s="56" t="s">
        <v>108</v>
      </c>
      <c r="I150" s="56" t="s">
        <v>373</v>
      </c>
      <c r="J150" s="56" t="s">
        <v>29</v>
      </c>
      <c r="K150" s="56">
        <v>43600</v>
      </c>
      <c r="L150" s="56"/>
      <c r="M150" s="56"/>
    </row>
    <row r="151" spans="1:13">
      <c r="A151" s="56">
        <v>151</v>
      </c>
      <c r="B151" s="56" t="s">
        <v>390</v>
      </c>
      <c r="C151" s="56" t="s">
        <v>391</v>
      </c>
      <c r="D151" s="56">
        <v>36058</v>
      </c>
      <c r="E151" s="56">
        <v>9</v>
      </c>
      <c r="F151" s="56" t="s">
        <v>17</v>
      </c>
      <c r="G151" s="56" t="s">
        <v>355</v>
      </c>
      <c r="H151" s="56" t="s">
        <v>108</v>
      </c>
      <c r="I151" s="56" t="s">
        <v>373</v>
      </c>
      <c r="J151" s="56" t="s">
        <v>29</v>
      </c>
      <c r="K151" s="56">
        <v>44166</v>
      </c>
      <c r="L151" s="56"/>
      <c r="M151" s="56"/>
    </row>
    <row r="152" spans="1:13">
      <c r="A152" s="56">
        <v>152</v>
      </c>
      <c r="B152" s="56" t="s">
        <v>392</v>
      </c>
      <c r="C152" s="56" t="s">
        <v>393</v>
      </c>
      <c r="D152" s="56">
        <v>35181</v>
      </c>
      <c r="E152" s="56">
        <v>4</v>
      </c>
      <c r="F152" s="56" t="s">
        <v>17</v>
      </c>
      <c r="G152" s="56" t="s">
        <v>355</v>
      </c>
      <c r="H152" s="56" t="s">
        <v>108</v>
      </c>
      <c r="I152" s="56" t="s">
        <v>358</v>
      </c>
      <c r="J152" s="56" t="s">
        <v>29</v>
      </c>
      <c r="K152" s="56">
        <v>43678</v>
      </c>
      <c r="L152" s="56"/>
      <c r="M152" s="56"/>
    </row>
    <row r="153" spans="1:13">
      <c r="A153" s="56">
        <v>153</v>
      </c>
      <c r="B153" s="56" t="s">
        <v>394</v>
      </c>
      <c r="C153" s="56" t="s">
        <v>395</v>
      </c>
      <c r="D153" s="56">
        <v>36297</v>
      </c>
      <c r="E153" s="56">
        <v>5</v>
      </c>
      <c r="F153" s="56" t="s">
        <v>17</v>
      </c>
      <c r="G153" s="56" t="s">
        <v>355</v>
      </c>
      <c r="H153" s="56" t="s">
        <v>108</v>
      </c>
      <c r="I153" s="56" t="s">
        <v>373</v>
      </c>
      <c r="J153" s="56" t="s">
        <v>29</v>
      </c>
      <c r="K153" s="56">
        <v>44666</v>
      </c>
      <c r="L153" s="56"/>
      <c r="M153" s="56"/>
    </row>
    <row r="154" spans="1:13">
      <c r="A154" s="56">
        <v>154</v>
      </c>
      <c r="B154" s="56" t="s">
        <v>396</v>
      </c>
      <c r="C154" s="56" t="s">
        <v>397</v>
      </c>
      <c r="D154" s="56">
        <v>34762</v>
      </c>
      <c r="E154" s="56">
        <v>3</v>
      </c>
      <c r="F154" s="56" t="s">
        <v>17</v>
      </c>
      <c r="G154" s="56" t="s">
        <v>355</v>
      </c>
      <c r="H154" s="56" t="s">
        <v>108</v>
      </c>
      <c r="I154" s="56" t="s">
        <v>373</v>
      </c>
      <c r="J154" s="56" t="s">
        <v>29</v>
      </c>
      <c r="K154" s="56">
        <v>43374</v>
      </c>
      <c r="L154" s="56"/>
      <c r="M154" s="56"/>
    </row>
    <row r="155" spans="1:13">
      <c r="A155" s="56">
        <v>155</v>
      </c>
      <c r="B155" s="56" t="s">
        <v>398</v>
      </c>
      <c r="C155" s="56" t="s">
        <v>399</v>
      </c>
      <c r="D155" s="56">
        <v>36883</v>
      </c>
      <c r="E155" s="56">
        <v>12</v>
      </c>
      <c r="F155" s="56" t="s">
        <v>17</v>
      </c>
      <c r="G155" s="56" t="s">
        <v>355</v>
      </c>
      <c r="H155" s="56" t="s">
        <v>108</v>
      </c>
      <c r="I155" s="56" t="s">
        <v>373</v>
      </c>
      <c r="J155" s="56" t="s">
        <v>29</v>
      </c>
      <c r="K155" s="56">
        <v>44655</v>
      </c>
      <c r="L155" s="56"/>
      <c r="M155" s="56"/>
    </row>
    <row r="156" spans="1:13">
      <c r="A156" s="56">
        <v>156</v>
      </c>
      <c r="B156" s="56" t="s">
        <v>400</v>
      </c>
      <c r="C156" s="56" t="s">
        <v>401</v>
      </c>
      <c r="D156" s="56">
        <v>34331</v>
      </c>
      <c r="E156" s="56">
        <v>12</v>
      </c>
      <c r="F156" s="56" t="s">
        <v>17</v>
      </c>
      <c r="G156" s="56" t="s">
        <v>355</v>
      </c>
      <c r="H156" s="56" t="s">
        <v>108</v>
      </c>
      <c r="I156" s="56" t="s">
        <v>373</v>
      </c>
      <c r="J156" s="56" t="s">
        <v>29</v>
      </c>
      <c r="K156" s="56">
        <v>43221</v>
      </c>
      <c r="L156" s="56"/>
      <c r="M156" s="56"/>
    </row>
    <row r="157" spans="1:13">
      <c r="A157" s="56">
        <v>157</v>
      </c>
      <c r="B157" s="56" t="s">
        <v>402</v>
      </c>
      <c r="C157" s="56" t="s">
        <v>403</v>
      </c>
      <c r="D157" s="56">
        <v>36352</v>
      </c>
      <c r="E157" s="56">
        <v>7</v>
      </c>
      <c r="F157" s="56" t="s">
        <v>17</v>
      </c>
      <c r="G157" s="56" t="s">
        <v>355</v>
      </c>
      <c r="H157" s="56" t="s">
        <v>108</v>
      </c>
      <c r="I157" s="56" t="s">
        <v>373</v>
      </c>
      <c r="J157" s="56" t="s">
        <v>29</v>
      </c>
      <c r="K157" s="56">
        <v>44897</v>
      </c>
      <c r="L157" s="56"/>
      <c r="M157" s="56"/>
    </row>
    <row r="158" spans="1:13">
      <c r="A158" s="56">
        <v>158</v>
      </c>
      <c r="B158" s="56" t="s">
        <v>404</v>
      </c>
      <c r="C158" s="56" t="s">
        <v>405</v>
      </c>
      <c r="D158" s="56">
        <v>36493</v>
      </c>
      <c r="E158" s="56">
        <v>11</v>
      </c>
      <c r="F158" s="56" t="s">
        <v>17</v>
      </c>
      <c r="G158" s="56" t="s">
        <v>355</v>
      </c>
      <c r="H158" s="56" t="s">
        <v>108</v>
      </c>
      <c r="I158" s="56" t="s">
        <v>406</v>
      </c>
      <c r="J158" s="56" t="s">
        <v>29</v>
      </c>
      <c r="K158" s="56">
        <v>44853</v>
      </c>
      <c r="L158" s="56"/>
      <c r="M158" s="56"/>
    </row>
    <row r="159" spans="1:13">
      <c r="A159" s="56">
        <v>159</v>
      </c>
      <c r="B159" s="56" t="s">
        <v>407</v>
      </c>
      <c r="C159" s="56" t="s">
        <v>408</v>
      </c>
      <c r="D159" s="56">
        <v>35318</v>
      </c>
      <c r="E159" s="56">
        <v>9</v>
      </c>
      <c r="F159" s="56" t="s">
        <v>17</v>
      </c>
      <c r="G159" s="56" t="s">
        <v>355</v>
      </c>
      <c r="H159" s="56" t="s">
        <v>108</v>
      </c>
      <c r="I159" s="56" t="s">
        <v>127</v>
      </c>
      <c r="J159" s="56" t="s">
        <v>29</v>
      </c>
      <c r="K159" s="56">
        <v>44900</v>
      </c>
      <c r="L159" s="56"/>
      <c r="M159" s="56"/>
    </row>
    <row r="160" spans="1:13">
      <c r="A160" s="56">
        <v>160</v>
      </c>
      <c r="B160" s="56" t="s">
        <v>409</v>
      </c>
      <c r="C160" s="56" t="s">
        <v>410</v>
      </c>
      <c r="D160" s="56">
        <v>35620</v>
      </c>
      <c r="E160" s="56">
        <v>7</v>
      </c>
      <c r="F160" s="56" t="s">
        <v>17</v>
      </c>
      <c r="G160" s="56" t="s">
        <v>355</v>
      </c>
      <c r="H160" s="56" t="s">
        <v>108</v>
      </c>
      <c r="I160" s="56" t="s">
        <v>370</v>
      </c>
      <c r="J160" s="56" t="s">
        <v>29</v>
      </c>
      <c r="K160" s="56">
        <v>44210</v>
      </c>
      <c r="L160" s="56"/>
      <c r="M160" s="56"/>
    </row>
    <row r="161" spans="1:13">
      <c r="A161" s="56">
        <v>161</v>
      </c>
      <c r="B161" s="56" t="s">
        <v>411</v>
      </c>
      <c r="C161" s="56" t="s">
        <v>412</v>
      </c>
      <c r="D161" s="56">
        <v>37002</v>
      </c>
      <c r="E161" s="56">
        <v>4</v>
      </c>
      <c r="F161" s="56" t="s">
        <v>17</v>
      </c>
      <c r="G161" s="56" t="s">
        <v>355</v>
      </c>
      <c r="H161" s="56" t="s">
        <v>108</v>
      </c>
      <c r="I161" s="56" t="s">
        <v>358</v>
      </c>
      <c r="J161" s="56" t="s">
        <v>140</v>
      </c>
      <c r="K161" s="56">
        <v>45124</v>
      </c>
      <c r="L161" s="56"/>
      <c r="M161" s="56"/>
    </row>
    <row r="162" spans="1:13">
      <c r="A162" s="56">
        <v>162</v>
      </c>
      <c r="B162" s="56" t="s">
        <v>413</v>
      </c>
      <c r="C162" s="56" t="s">
        <v>414</v>
      </c>
      <c r="D162" s="56">
        <v>36165</v>
      </c>
      <c r="E162" s="56">
        <v>1</v>
      </c>
      <c r="F162" s="56" t="s">
        <v>17</v>
      </c>
      <c r="G162" s="56" t="s">
        <v>355</v>
      </c>
      <c r="H162" s="56" t="s">
        <v>108</v>
      </c>
      <c r="I162" s="56" t="s">
        <v>365</v>
      </c>
      <c r="J162" s="56" t="s">
        <v>29</v>
      </c>
      <c r="K162" s="56">
        <v>44046</v>
      </c>
      <c r="L162" s="56"/>
      <c r="M162" s="56"/>
    </row>
    <row r="163" spans="1:13">
      <c r="A163" s="56">
        <v>163</v>
      </c>
      <c r="B163" s="56" t="s">
        <v>415</v>
      </c>
      <c r="C163" s="56" t="s">
        <v>416</v>
      </c>
      <c r="D163" s="56">
        <v>36080</v>
      </c>
      <c r="E163" s="56">
        <v>10</v>
      </c>
      <c r="F163" s="56" t="s">
        <v>17</v>
      </c>
      <c r="G163" s="56" t="s">
        <v>355</v>
      </c>
      <c r="H163" s="56" t="s">
        <v>108</v>
      </c>
      <c r="I163" s="56" t="s">
        <v>370</v>
      </c>
      <c r="J163" s="56" t="s">
        <v>29</v>
      </c>
      <c r="K163" s="56">
        <v>43734</v>
      </c>
      <c r="L163" s="56"/>
      <c r="M163" s="56"/>
    </row>
    <row r="164" spans="1:13">
      <c r="A164" s="56">
        <v>164</v>
      </c>
      <c r="B164" s="56" t="s">
        <v>417</v>
      </c>
      <c r="C164" s="56" t="s">
        <v>418</v>
      </c>
      <c r="D164" s="56">
        <v>35300</v>
      </c>
      <c r="E164" s="56">
        <v>8</v>
      </c>
      <c r="F164" s="56" t="s">
        <v>17</v>
      </c>
      <c r="G164" s="56" t="s">
        <v>355</v>
      </c>
      <c r="H164" s="56" t="s">
        <v>108</v>
      </c>
      <c r="I164" s="56" t="s">
        <v>169</v>
      </c>
      <c r="J164" s="56" t="s">
        <v>29</v>
      </c>
      <c r="K164" s="56">
        <v>43720</v>
      </c>
      <c r="L164" s="56"/>
      <c r="M164" s="56"/>
    </row>
    <row r="165" spans="1:13">
      <c r="A165" s="56">
        <v>165</v>
      </c>
      <c r="B165" s="56" t="s">
        <v>419</v>
      </c>
      <c r="C165" s="56" t="s">
        <v>420</v>
      </c>
      <c r="D165" s="56">
        <v>36182</v>
      </c>
      <c r="E165" s="56">
        <v>1</v>
      </c>
      <c r="F165" s="56" t="s">
        <v>17</v>
      </c>
      <c r="G165" s="56" t="s">
        <v>355</v>
      </c>
      <c r="H165" s="56" t="s">
        <v>108</v>
      </c>
      <c r="I165" s="56" t="s">
        <v>373</v>
      </c>
      <c r="J165" s="56" t="s">
        <v>29</v>
      </c>
      <c r="K165" s="56">
        <v>44470</v>
      </c>
      <c r="L165" s="56"/>
      <c r="M165" s="56"/>
    </row>
    <row r="166" spans="1:13">
      <c r="A166" s="56">
        <v>166</v>
      </c>
      <c r="B166" s="56" t="s">
        <v>421</v>
      </c>
      <c r="C166" s="56" t="s">
        <v>254</v>
      </c>
      <c r="D166" s="56">
        <v>34326</v>
      </c>
      <c r="E166" s="56">
        <v>12</v>
      </c>
      <c r="F166" s="56" t="s">
        <v>17</v>
      </c>
      <c r="G166" s="56" t="s">
        <v>355</v>
      </c>
      <c r="H166" s="56" t="s">
        <v>108</v>
      </c>
      <c r="I166" s="56" t="s">
        <v>358</v>
      </c>
      <c r="J166" s="56" t="s">
        <v>29</v>
      </c>
      <c r="K166" s="56">
        <v>43871</v>
      </c>
      <c r="L166" s="56"/>
      <c r="M166" s="56"/>
    </row>
    <row r="167" spans="1:13">
      <c r="A167" s="56">
        <v>167</v>
      </c>
      <c r="B167" s="56" t="s">
        <v>422</v>
      </c>
      <c r="C167" s="56" t="s">
        <v>315</v>
      </c>
      <c r="D167" s="56">
        <v>35370</v>
      </c>
      <c r="E167" s="56">
        <v>11</v>
      </c>
      <c r="F167" s="56" t="s">
        <v>17</v>
      </c>
      <c r="G167" s="56" t="s">
        <v>355</v>
      </c>
      <c r="H167" s="56" t="s">
        <v>108</v>
      </c>
      <c r="I167" s="56" t="s">
        <v>373</v>
      </c>
      <c r="J167" s="56" t="s">
        <v>29</v>
      </c>
      <c r="K167" s="56">
        <v>43678</v>
      </c>
      <c r="L167" s="56"/>
      <c r="M167" s="56"/>
    </row>
    <row r="168" spans="1:13">
      <c r="A168" s="56">
        <v>168</v>
      </c>
      <c r="B168" s="56" t="s">
        <v>423</v>
      </c>
      <c r="C168" s="56" t="s">
        <v>424</v>
      </c>
      <c r="D168" s="56">
        <v>36759</v>
      </c>
      <c r="E168" s="56">
        <v>8</v>
      </c>
      <c r="F168" s="56" t="s">
        <v>17</v>
      </c>
      <c r="G168" s="56" t="s">
        <v>355</v>
      </c>
      <c r="H168" s="56" t="s">
        <v>108</v>
      </c>
      <c r="I168" s="56" t="s">
        <v>425</v>
      </c>
      <c r="J168" s="56" t="s">
        <v>29</v>
      </c>
      <c r="K168" s="56">
        <v>45110</v>
      </c>
      <c r="L168" s="56"/>
      <c r="M168" s="56"/>
    </row>
    <row r="169" spans="1:13">
      <c r="A169" s="56">
        <v>169</v>
      </c>
      <c r="B169" s="56" t="s">
        <v>426</v>
      </c>
      <c r="C169" s="56" t="s">
        <v>427</v>
      </c>
      <c r="D169" s="56">
        <v>36276</v>
      </c>
      <c r="E169" s="56">
        <v>4</v>
      </c>
      <c r="F169" s="56" t="s">
        <v>17</v>
      </c>
      <c r="G169" s="56" t="s">
        <v>355</v>
      </c>
      <c r="H169" s="56" t="s">
        <v>108</v>
      </c>
      <c r="I169" s="56" t="s">
        <v>127</v>
      </c>
      <c r="J169" s="56" t="s">
        <v>29</v>
      </c>
      <c r="K169" s="56">
        <v>44487</v>
      </c>
      <c r="L169" s="56"/>
      <c r="M169" s="56"/>
    </row>
    <row r="170" spans="1:13">
      <c r="A170" s="56">
        <v>170</v>
      </c>
      <c r="B170" s="56" t="s">
        <v>428</v>
      </c>
      <c r="C170" s="56" t="s">
        <v>429</v>
      </c>
      <c r="D170" s="56">
        <v>36694</v>
      </c>
      <c r="E170" s="56">
        <v>6</v>
      </c>
      <c r="F170" s="56" t="s">
        <v>17</v>
      </c>
      <c r="G170" s="56" t="s">
        <v>355</v>
      </c>
      <c r="H170" s="56" t="s">
        <v>108</v>
      </c>
      <c r="I170" s="56" t="s">
        <v>373</v>
      </c>
      <c r="J170" s="56" t="s">
        <v>29</v>
      </c>
      <c r="K170" s="56">
        <v>44670</v>
      </c>
      <c r="L170" s="56"/>
      <c r="M170" s="56"/>
    </row>
    <row r="171" spans="1:13">
      <c r="A171" s="56">
        <v>171</v>
      </c>
      <c r="B171" s="56" t="s">
        <v>430</v>
      </c>
      <c r="C171" s="56" t="s">
        <v>431</v>
      </c>
      <c r="D171" s="56">
        <v>35643</v>
      </c>
      <c r="E171" s="56">
        <v>8</v>
      </c>
      <c r="F171" s="56" t="s">
        <v>17</v>
      </c>
      <c r="G171" s="56" t="s">
        <v>355</v>
      </c>
      <c r="H171" s="56" t="s">
        <v>108</v>
      </c>
      <c r="I171" s="56" t="s">
        <v>373</v>
      </c>
      <c r="J171" s="56" t="s">
        <v>29</v>
      </c>
      <c r="K171" s="56">
        <v>43711</v>
      </c>
      <c r="L171" s="56"/>
      <c r="M171" s="56"/>
    </row>
    <row r="172" spans="1:13">
      <c r="A172" s="56">
        <v>172</v>
      </c>
      <c r="B172" s="56" t="s">
        <v>432</v>
      </c>
      <c r="C172" s="56" t="s">
        <v>433</v>
      </c>
      <c r="D172" s="56">
        <v>30913</v>
      </c>
      <c r="E172" s="56">
        <v>8</v>
      </c>
      <c r="F172" s="56" t="s">
        <v>17</v>
      </c>
      <c r="G172" s="56" t="s">
        <v>355</v>
      </c>
      <c r="H172" s="56" t="s">
        <v>108</v>
      </c>
      <c r="I172" s="56" t="s">
        <v>434</v>
      </c>
      <c r="J172" s="56" t="s">
        <v>29</v>
      </c>
      <c r="K172" s="56">
        <v>41047</v>
      </c>
      <c r="L172" s="56"/>
      <c r="M172" s="56"/>
    </row>
    <row r="173" spans="1:13">
      <c r="A173" s="56">
        <v>173</v>
      </c>
      <c r="B173" s="56" t="s">
        <v>435</v>
      </c>
      <c r="C173" s="56" t="s">
        <v>436</v>
      </c>
      <c r="D173" s="56">
        <v>35766</v>
      </c>
      <c r="E173" s="56">
        <v>12</v>
      </c>
      <c r="F173" s="56" t="s">
        <v>17</v>
      </c>
      <c r="G173" s="56" t="s">
        <v>355</v>
      </c>
      <c r="H173" s="56" t="s">
        <v>108</v>
      </c>
      <c r="I173" s="56" t="s">
        <v>358</v>
      </c>
      <c r="J173" s="56" t="s">
        <v>29</v>
      </c>
      <c r="K173" s="56">
        <v>44277</v>
      </c>
      <c r="L173" s="56"/>
      <c r="M173" s="56"/>
    </row>
    <row r="174" spans="1:13">
      <c r="A174" s="56">
        <v>174</v>
      </c>
      <c r="B174" s="56" t="s">
        <v>437</v>
      </c>
      <c r="C174" s="56" t="s">
        <v>438</v>
      </c>
      <c r="D174" s="56">
        <v>34762</v>
      </c>
      <c r="E174" s="56">
        <v>3</v>
      </c>
      <c r="F174" s="56" t="s">
        <v>17</v>
      </c>
      <c r="G174" s="56" t="s">
        <v>355</v>
      </c>
      <c r="H174" s="56" t="s">
        <v>108</v>
      </c>
      <c r="I174" s="56" t="s">
        <v>169</v>
      </c>
      <c r="J174" s="56" t="s">
        <v>29</v>
      </c>
      <c r="K174" s="56">
        <v>44621</v>
      </c>
      <c r="L174" s="56"/>
      <c r="M174" s="56"/>
    </row>
    <row r="175" spans="1:13">
      <c r="A175" s="56">
        <v>175</v>
      </c>
      <c r="B175" s="56" t="s">
        <v>439</v>
      </c>
      <c r="C175" s="56" t="s">
        <v>440</v>
      </c>
      <c r="D175" s="56">
        <v>36813</v>
      </c>
      <c r="E175" s="56">
        <v>10</v>
      </c>
      <c r="F175" s="56" t="s">
        <v>17</v>
      </c>
      <c r="G175" s="56" t="s">
        <v>355</v>
      </c>
      <c r="H175" s="56" t="s">
        <v>108</v>
      </c>
      <c r="I175" s="56" t="s">
        <v>127</v>
      </c>
      <c r="J175" s="56" t="s">
        <v>29</v>
      </c>
      <c r="K175" s="56">
        <v>45008</v>
      </c>
      <c r="L175" s="56"/>
      <c r="M175" s="56"/>
    </row>
    <row r="176" spans="1:13">
      <c r="A176" s="56">
        <v>176</v>
      </c>
      <c r="B176" s="56" t="s">
        <v>441</v>
      </c>
      <c r="C176" s="56" t="s">
        <v>442</v>
      </c>
      <c r="D176" s="56">
        <v>36362</v>
      </c>
      <c r="E176" s="56">
        <v>7</v>
      </c>
      <c r="F176" s="56" t="s">
        <v>17</v>
      </c>
      <c r="G176" s="56" t="s">
        <v>355</v>
      </c>
      <c r="H176" s="56" t="s">
        <v>108</v>
      </c>
      <c r="I176" s="56" t="s">
        <v>358</v>
      </c>
      <c r="J176" s="56" t="s">
        <v>29</v>
      </c>
      <c r="K176" s="56">
        <v>44447</v>
      </c>
      <c r="L176" s="56"/>
      <c r="M176" s="56"/>
    </row>
    <row r="177" spans="1:13">
      <c r="A177" s="56">
        <v>177</v>
      </c>
      <c r="B177" s="56" t="s">
        <v>443</v>
      </c>
      <c r="C177" s="56" t="s">
        <v>444</v>
      </c>
      <c r="D177" s="56">
        <v>28224</v>
      </c>
      <c r="E177" s="56">
        <v>4</v>
      </c>
      <c r="F177" s="56" t="s">
        <v>17</v>
      </c>
      <c r="G177" s="56" t="s">
        <v>355</v>
      </c>
      <c r="H177" s="56" t="s">
        <v>108</v>
      </c>
      <c r="I177" s="56" t="s">
        <v>246</v>
      </c>
      <c r="J177" s="56" t="s">
        <v>29</v>
      </c>
      <c r="K177" s="56">
        <v>43388</v>
      </c>
      <c r="L177" s="56"/>
      <c r="M177" s="56"/>
    </row>
    <row r="178" spans="1:13">
      <c r="A178" s="56">
        <v>178</v>
      </c>
      <c r="B178" s="56" t="s">
        <v>445</v>
      </c>
      <c r="C178" s="56" t="s">
        <v>446</v>
      </c>
      <c r="D178" s="56">
        <v>30938</v>
      </c>
      <c r="E178" s="56">
        <v>9</v>
      </c>
      <c r="F178" s="56" t="s">
        <v>17</v>
      </c>
      <c r="G178" s="56" t="s">
        <v>355</v>
      </c>
      <c r="H178" s="56" t="s">
        <v>108</v>
      </c>
      <c r="I178" s="56" t="s">
        <v>117</v>
      </c>
      <c r="J178" s="56" t="s">
        <v>29</v>
      </c>
      <c r="K178" s="56">
        <v>40275</v>
      </c>
      <c r="L178" s="56"/>
      <c r="M178" s="56"/>
    </row>
    <row r="179" spans="1:13">
      <c r="A179" s="56">
        <v>179</v>
      </c>
      <c r="B179" s="56" t="s">
        <v>447</v>
      </c>
      <c r="C179" s="56" t="s">
        <v>448</v>
      </c>
      <c r="D179" s="56">
        <v>36495</v>
      </c>
      <c r="E179" s="56">
        <v>12</v>
      </c>
      <c r="F179" s="56" t="s">
        <v>17</v>
      </c>
      <c r="G179" s="56" t="s">
        <v>355</v>
      </c>
      <c r="H179" s="56" t="s">
        <v>108</v>
      </c>
      <c r="I179" s="56" t="s">
        <v>169</v>
      </c>
      <c r="J179" s="56" t="s">
        <v>29</v>
      </c>
      <c r="K179" s="56">
        <v>44875</v>
      </c>
      <c r="L179" s="56"/>
      <c r="M179" s="56"/>
    </row>
    <row r="180" spans="1:13">
      <c r="A180" s="56">
        <v>180</v>
      </c>
      <c r="B180" s="56" t="s">
        <v>449</v>
      </c>
      <c r="C180" s="56" t="s">
        <v>450</v>
      </c>
      <c r="D180" s="56">
        <v>33465</v>
      </c>
      <c r="E180" s="56">
        <v>8</v>
      </c>
      <c r="F180" s="56" t="s">
        <v>17</v>
      </c>
      <c r="G180" s="56" t="s">
        <v>355</v>
      </c>
      <c r="H180" s="56" t="s">
        <v>108</v>
      </c>
      <c r="I180" s="56" t="s">
        <v>370</v>
      </c>
      <c r="J180" s="56" t="s">
        <v>29</v>
      </c>
      <c r="K180" s="56">
        <v>44389</v>
      </c>
      <c r="L180" s="56"/>
      <c r="M180" s="56"/>
    </row>
    <row r="181" spans="1:13">
      <c r="A181" s="56">
        <v>181</v>
      </c>
      <c r="B181" s="56" t="s">
        <v>451</v>
      </c>
      <c r="C181" s="56" t="s">
        <v>452</v>
      </c>
      <c r="D181" s="56">
        <v>36622</v>
      </c>
      <c r="E181" s="56">
        <v>4</v>
      </c>
      <c r="F181" s="56" t="s">
        <v>17</v>
      </c>
      <c r="G181" s="56" t="s">
        <v>355</v>
      </c>
      <c r="H181" s="56" t="s">
        <v>108</v>
      </c>
      <c r="I181" s="56" t="s">
        <v>373</v>
      </c>
      <c r="J181" s="56" t="s">
        <v>29</v>
      </c>
      <c r="K181" s="56">
        <v>44824</v>
      </c>
      <c r="L181" s="56"/>
      <c r="M181" s="56"/>
    </row>
    <row r="182" spans="1:13">
      <c r="A182" s="56">
        <v>182</v>
      </c>
      <c r="B182" s="56" t="s">
        <v>453</v>
      </c>
      <c r="C182" s="56" t="s">
        <v>454</v>
      </c>
      <c r="D182" s="56">
        <v>36784</v>
      </c>
      <c r="E182" s="56">
        <v>9</v>
      </c>
      <c r="F182" s="56" t="s">
        <v>17</v>
      </c>
      <c r="G182" s="56" t="s">
        <v>355</v>
      </c>
      <c r="H182" s="56" t="s">
        <v>108</v>
      </c>
      <c r="I182" s="56" t="s">
        <v>127</v>
      </c>
      <c r="J182" s="56" t="s">
        <v>29</v>
      </c>
      <c r="K182" s="56">
        <v>44859</v>
      </c>
      <c r="L182" s="56"/>
      <c r="M182" s="56"/>
    </row>
    <row r="183" spans="1:13">
      <c r="A183" s="56">
        <v>183</v>
      </c>
      <c r="B183" s="56" t="s">
        <v>455</v>
      </c>
      <c r="C183" s="56" t="s">
        <v>456</v>
      </c>
      <c r="D183" s="56">
        <v>28303</v>
      </c>
      <c r="E183" s="56">
        <v>6</v>
      </c>
      <c r="F183" s="56" t="s">
        <v>17</v>
      </c>
      <c r="G183" s="56" t="s">
        <v>355</v>
      </c>
      <c r="H183" s="56" t="s">
        <v>108</v>
      </c>
      <c r="I183" s="56" t="s">
        <v>117</v>
      </c>
      <c r="J183" s="56" t="s">
        <v>29</v>
      </c>
      <c r="K183" s="56">
        <v>43290</v>
      </c>
      <c r="L183" s="56"/>
      <c r="M183" s="56"/>
    </row>
    <row r="184" spans="1:13">
      <c r="A184" s="56">
        <v>184</v>
      </c>
      <c r="B184" s="56" t="s">
        <v>457</v>
      </c>
      <c r="C184" s="56" t="s">
        <v>458</v>
      </c>
      <c r="D184" s="56">
        <v>35061</v>
      </c>
      <c r="E184" s="56">
        <v>12</v>
      </c>
      <c r="F184" s="56" t="s">
        <v>17</v>
      </c>
      <c r="G184" s="56" t="s">
        <v>355</v>
      </c>
      <c r="H184" s="56" t="s">
        <v>108</v>
      </c>
      <c r="I184" s="56" t="s">
        <v>373</v>
      </c>
      <c r="J184" s="56" t="s">
        <v>29</v>
      </c>
      <c r="K184" s="56">
        <v>43202</v>
      </c>
      <c r="L184" s="56"/>
      <c r="M184" s="56"/>
    </row>
    <row r="185" spans="1:13">
      <c r="A185" s="56">
        <v>185</v>
      </c>
      <c r="B185" s="56" t="s">
        <v>459</v>
      </c>
      <c r="C185" s="56" t="s">
        <v>460</v>
      </c>
      <c r="D185" s="56">
        <v>36755</v>
      </c>
      <c r="E185" s="56">
        <v>8</v>
      </c>
      <c r="F185" s="56" t="s">
        <v>17</v>
      </c>
      <c r="G185" s="56" t="s">
        <v>355</v>
      </c>
      <c r="H185" s="56" t="s">
        <v>108</v>
      </c>
      <c r="I185" s="56" t="s">
        <v>169</v>
      </c>
      <c r="J185" s="56" t="s">
        <v>29</v>
      </c>
      <c r="K185" s="56">
        <v>44664</v>
      </c>
      <c r="L185" s="56"/>
      <c r="M185" s="56"/>
    </row>
    <row r="186" spans="1:13">
      <c r="A186" s="56">
        <v>186</v>
      </c>
      <c r="B186" s="56" t="s">
        <v>461</v>
      </c>
      <c r="C186" s="56" t="s">
        <v>462</v>
      </c>
      <c r="D186" s="56">
        <v>28266</v>
      </c>
      <c r="E186" s="56">
        <v>5</v>
      </c>
      <c r="F186" s="56" t="s">
        <v>17</v>
      </c>
      <c r="G186" s="56" t="s">
        <v>355</v>
      </c>
      <c r="H186" s="56" t="s">
        <v>18</v>
      </c>
      <c r="I186" s="56" t="s">
        <v>295</v>
      </c>
      <c r="J186" s="56" t="s">
        <v>29</v>
      </c>
      <c r="K186" s="56">
        <v>42871</v>
      </c>
      <c r="L186" s="56"/>
      <c r="M186" s="56"/>
    </row>
    <row r="187" spans="1:13">
      <c r="A187" s="56">
        <v>187</v>
      </c>
      <c r="B187" s="56" t="s">
        <v>463</v>
      </c>
      <c r="C187" s="56" t="s">
        <v>464</v>
      </c>
      <c r="D187" s="56">
        <v>36725</v>
      </c>
      <c r="E187" s="56">
        <v>7</v>
      </c>
      <c r="F187" s="56" t="s">
        <v>17</v>
      </c>
      <c r="G187" s="56" t="s">
        <v>355</v>
      </c>
      <c r="H187" s="56" t="s">
        <v>108</v>
      </c>
      <c r="I187" s="56" t="s">
        <v>373</v>
      </c>
      <c r="J187" s="56" t="s">
        <v>140</v>
      </c>
      <c r="K187" s="56">
        <v>45117</v>
      </c>
      <c r="L187" s="56"/>
      <c r="M187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5876-FA40-4E43-A940-F02A2584C637}">
  <dimension ref="A1:U101"/>
  <sheetViews>
    <sheetView workbookViewId="0">
      <selection activeCell="C15" sqref="C15"/>
    </sheetView>
  </sheetViews>
  <sheetFormatPr baseColWidth="10" defaultColWidth="8.83203125" defaultRowHeight="15"/>
  <cols>
    <col min="1" max="7" width="28.5" customWidth="1"/>
    <col min="8" max="8" width="28.5" style="58" customWidth="1"/>
    <col min="9" max="15" width="28.5" customWidth="1"/>
    <col min="16" max="16" width="28.5" style="1" customWidth="1"/>
    <col min="17" max="17" width="20.5" bestFit="1" customWidth="1"/>
    <col min="18" max="18" width="22.5" bestFit="1" customWidth="1"/>
    <col min="19" max="19" width="18.6640625" customWidth="1"/>
    <col min="20" max="20" width="31.5" bestFit="1" customWidth="1"/>
    <col min="21" max="21" width="9.1640625" style="1"/>
  </cols>
  <sheetData>
    <row r="1" spans="1:21">
      <c r="A1" s="61" t="s">
        <v>465</v>
      </c>
      <c r="B1" s="61" t="s">
        <v>466</v>
      </c>
      <c r="C1" s="61" t="s">
        <v>467</v>
      </c>
      <c r="D1" s="61" t="s">
        <v>468</v>
      </c>
      <c r="E1" s="61" t="s">
        <v>469</v>
      </c>
      <c r="F1" s="61" t="s">
        <v>470</v>
      </c>
      <c r="G1" s="61" t="s">
        <v>471</v>
      </c>
      <c r="H1" s="61" t="s">
        <v>472</v>
      </c>
      <c r="I1" s="61" t="s">
        <v>473</v>
      </c>
      <c r="J1" s="61" t="s">
        <v>474</v>
      </c>
      <c r="K1" s="61" t="s">
        <v>475</v>
      </c>
      <c r="L1" s="61" t="s">
        <v>476</v>
      </c>
      <c r="M1" s="61" t="s">
        <v>477</v>
      </c>
      <c r="N1" s="61" t="s">
        <v>478</v>
      </c>
      <c r="O1" s="61" t="s">
        <v>479</v>
      </c>
      <c r="P1" s="61" t="s">
        <v>480</v>
      </c>
      <c r="Q1" s="62" t="s">
        <v>481</v>
      </c>
      <c r="R1" s="62" t="s">
        <v>482</v>
      </c>
      <c r="S1" s="62" t="s">
        <v>483</v>
      </c>
      <c r="T1" s="62" t="s">
        <v>484</v>
      </c>
      <c r="U1" s="63" t="s">
        <v>485</v>
      </c>
    </row>
    <row r="2" spans="1:21" s="1" customFormat="1">
      <c r="A2" s="72">
        <v>123</v>
      </c>
      <c r="B2" s="69">
        <v>45831.478506944397</v>
      </c>
      <c r="C2" s="69">
        <v>45831.480555555601</v>
      </c>
      <c r="D2" s="59" t="s">
        <v>486</v>
      </c>
      <c r="E2" s="59"/>
      <c r="F2" s="59"/>
      <c r="G2" s="59" t="s">
        <v>61</v>
      </c>
      <c r="H2" s="70" t="s">
        <v>60</v>
      </c>
      <c r="I2" s="59" t="s">
        <v>56</v>
      </c>
      <c r="J2" s="59" t="s">
        <v>487</v>
      </c>
      <c r="K2" s="59" t="s">
        <v>488</v>
      </c>
      <c r="L2" s="59"/>
      <c r="M2" s="59" t="s">
        <v>489</v>
      </c>
      <c r="N2" s="59" t="s">
        <v>490</v>
      </c>
      <c r="O2" s="59" t="s">
        <v>491</v>
      </c>
      <c r="P2" s="70" t="s">
        <v>492</v>
      </c>
      <c r="Q2" s="59"/>
      <c r="R2" s="59" t="s">
        <v>493</v>
      </c>
      <c r="S2" s="59"/>
      <c r="T2" s="59"/>
      <c r="U2" s="73"/>
    </row>
    <row r="3" spans="1:21" s="1" customFormat="1">
      <c r="A3" s="72">
        <v>124</v>
      </c>
      <c r="B3" s="69">
        <v>45831.480775463002</v>
      </c>
      <c r="C3" s="69">
        <v>45831.482233796298</v>
      </c>
      <c r="D3" s="59" t="s">
        <v>486</v>
      </c>
      <c r="E3" s="59"/>
      <c r="F3" s="59"/>
      <c r="G3" s="59" t="s">
        <v>72</v>
      </c>
      <c r="H3" s="70" t="s">
        <v>71</v>
      </c>
      <c r="I3" s="59" t="s">
        <v>70</v>
      </c>
      <c r="J3" s="59" t="s">
        <v>487</v>
      </c>
      <c r="K3" s="59" t="s">
        <v>488</v>
      </c>
      <c r="L3" s="59"/>
      <c r="M3" s="59" t="s">
        <v>494</v>
      </c>
      <c r="N3" s="59" t="s">
        <v>495</v>
      </c>
      <c r="O3" s="59" t="s">
        <v>491</v>
      </c>
      <c r="P3" s="70" t="s">
        <v>496</v>
      </c>
      <c r="Q3" s="59"/>
      <c r="R3" s="59" t="s">
        <v>497</v>
      </c>
      <c r="S3" s="59"/>
      <c r="T3" s="59"/>
      <c r="U3" s="73"/>
    </row>
    <row r="4" spans="1:21" s="1" customFormat="1">
      <c r="A4" s="72">
        <v>125</v>
      </c>
      <c r="B4" s="69">
        <v>45831.482268518499</v>
      </c>
      <c r="C4" s="69">
        <v>45831.4836111111</v>
      </c>
      <c r="D4" s="59" t="s">
        <v>486</v>
      </c>
      <c r="E4" s="59"/>
      <c r="F4" s="59"/>
      <c r="G4" s="59" t="s">
        <v>36</v>
      </c>
      <c r="H4" s="70" t="s">
        <v>35</v>
      </c>
      <c r="I4" s="59" t="s">
        <v>28</v>
      </c>
      <c r="J4" s="59" t="s">
        <v>26</v>
      </c>
      <c r="K4" s="59" t="s">
        <v>488</v>
      </c>
      <c r="L4" s="59"/>
      <c r="M4" s="59" t="s">
        <v>498</v>
      </c>
      <c r="N4" s="59" t="s">
        <v>499</v>
      </c>
      <c r="O4" s="59" t="s">
        <v>491</v>
      </c>
      <c r="P4" s="70" t="s">
        <v>500</v>
      </c>
      <c r="Q4" s="59"/>
      <c r="R4" s="59" t="s">
        <v>501</v>
      </c>
      <c r="S4" s="59"/>
      <c r="T4" s="59"/>
      <c r="U4" s="73"/>
    </row>
    <row r="5" spans="1:21" s="1" customFormat="1">
      <c r="A5" s="65">
        <v>126</v>
      </c>
      <c r="B5" s="71">
        <v>45831.483634259297</v>
      </c>
      <c r="C5" s="71">
        <v>45831.485347222202</v>
      </c>
      <c r="D5" s="66" t="s">
        <v>486</v>
      </c>
      <c r="E5" s="66"/>
      <c r="F5" s="66"/>
      <c r="G5" s="66" t="s">
        <v>279</v>
      </c>
      <c r="H5" s="67" t="s">
        <v>278</v>
      </c>
      <c r="I5" s="66" t="s">
        <v>133</v>
      </c>
      <c r="J5" s="66" t="s">
        <v>107</v>
      </c>
      <c r="K5" s="66" t="s">
        <v>488</v>
      </c>
      <c r="L5" s="66"/>
      <c r="M5" s="66" t="s">
        <v>489</v>
      </c>
      <c r="N5" s="66" t="s">
        <v>502</v>
      </c>
      <c r="O5" s="66" t="s">
        <v>491</v>
      </c>
      <c r="P5" s="67" t="s">
        <v>503</v>
      </c>
      <c r="Q5" s="66"/>
      <c r="R5" s="66" t="s">
        <v>504</v>
      </c>
      <c r="S5" s="66"/>
      <c r="T5" s="66"/>
      <c r="U5" s="68"/>
    </row>
    <row r="6" spans="1:21" s="1" customFormat="1">
      <c r="A6" s="65"/>
      <c r="B6" s="71"/>
      <c r="C6" s="71"/>
      <c r="D6" s="66"/>
      <c r="E6" s="66"/>
      <c r="F6" s="66"/>
      <c r="G6" s="66"/>
      <c r="H6" s="67"/>
      <c r="I6" s="66"/>
      <c r="J6" s="66"/>
      <c r="K6" s="66"/>
      <c r="L6" s="66"/>
      <c r="M6" s="66"/>
      <c r="N6" s="66"/>
      <c r="O6" s="66"/>
      <c r="P6" s="67"/>
      <c r="Q6" s="66"/>
      <c r="R6" s="66"/>
      <c r="S6" s="66"/>
      <c r="T6" s="66"/>
      <c r="U6" s="68"/>
    </row>
    <row r="7" spans="1:21" s="1" customFormat="1">
      <c r="A7" s="65"/>
      <c r="B7" s="71"/>
      <c r="C7" s="71"/>
      <c r="D7" s="66"/>
      <c r="E7" s="66"/>
      <c r="F7" s="66"/>
      <c r="G7" s="66"/>
      <c r="H7" s="67"/>
      <c r="I7" s="66"/>
      <c r="J7" s="66"/>
      <c r="K7" s="66"/>
      <c r="L7" s="66"/>
      <c r="M7" s="66"/>
      <c r="N7" s="66"/>
      <c r="O7" s="66"/>
      <c r="P7" s="67"/>
      <c r="Q7" s="66"/>
      <c r="R7" s="66"/>
      <c r="S7" s="66"/>
      <c r="T7" s="66"/>
      <c r="U7" s="68"/>
    </row>
    <row r="8" spans="1:21" s="1" customFormat="1">
      <c r="A8" s="65"/>
      <c r="B8" s="71" t="s">
        <v>505</v>
      </c>
      <c r="C8" s="71"/>
      <c r="D8" s="66"/>
      <c r="E8" s="66"/>
      <c r="F8" s="66"/>
      <c r="G8" s="66"/>
      <c r="H8" s="67"/>
      <c r="I8" s="66"/>
      <c r="J8" s="66"/>
      <c r="K8" s="66"/>
      <c r="L8" s="66"/>
      <c r="M8" s="66"/>
      <c r="N8" s="66"/>
      <c r="O8" s="66"/>
      <c r="P8" s="67"/>
      <c r="Q8" s="66"/>
      <c r="R8" s="66"/>
      <c r="S8" s="66"/>
      <c r="T8" s="66"/>
      <c r="U8" s="68"/>
    </row>
    <row r="9" spans="1:21" s="1" customFormat="1">
      <c r="A9" s="59"/>
      <c r="B9" s="69"/>
      <c r="C9" s="6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>
      <c r="A10" s="65"/>
      <c r="B10" s="66"/>
      <c r="C10" s="66"/>
      <c r="D10" s="66"/>
      <c r="E10" s="66"/>
      <c r="F10" s="66"/>
      <c r="G10" s="66"/>
      <c r="H10" s="67"/>
      <c r="I10" s="66"/>
      <c r="J10" s="66"/>
      <c r="K10" s="66"/>
      <c r="L10" s="66"/>
      <c r="M10" s="66"/>
      <c r="N10" s="66"/>
      <c r="O10" s="66"/>
      <c r="P10" s="60"/>
      <c r="Q10" s="66"/>
      <c r="R10" s="66"/>
      <c r="S10" s="64"/>
      <c r="T10" s="64"/>
      <c r="U10" s="64"/>
    </row>
    <row r="11" spans="1:21">
      <c r="A11" s="65"/>
      <c r="B11" s="66"/>
      <c r="C11" s="66"/>
      <c r="D11" s="66"/>
      <c r="E11" s="66"/>
      <c r="F11" s="66"/>
      <c r="G11" s="66"/>
      <c r="H11" s="67"/>
      <c r="I11" s="66"/>
      <c r="J11" s="66"/>
      <c r="K11" s="66"/>
      <c r="L11" s="66"/>
      <c r="M11" s="66"/>
      <c r="N11" s="66"/>
      <c r="O11" s="66"/>
      <c r="P11" s="60"/>
      <c r="Q11" s="66"/>
      <c r="R11" s="66"/>
      <c r="S11" s="64"/>
      <c r="T11" s="64"/>
      <c r="U11" s="64"/>
    </row>
    <row r="12" spans="1:21">
      <c r="A12" s="65"/>
      <c r="B12" s="66"/>
      <c r="C12" s="66"/>
      <c r="D12" s="66"/>
      <c r="E12" s="66"/>
      <c r="F12" s="66"/>
      <c r="G12" s="66"/>
      <c r="H12" s="67"/>
      <c r="I12" s="66"/>
      <c r="J12" s="66"/>
      <c r="K12" s="66"/>
      <c r="L12" s="66"/>
      <c r="M12" s="66"/>
      <c r="N12" s="66"/>
      <c r="O12" s="66"/>
      <c r="P12" s="68"/>
      <c r="Q12" s="66"/>
      <c r="R12" s="64"/>
      <c r="S12" s="64"/>
      <c r="T12" s="64"/>
      <c r="U12" s="64"/>
    </row>
    <row r="13" spans="1:21">
      <c r="A13" s="65"/>
      <c r="B13" s="66"/>
      <c r="C13" s="66"/>
      <c r="D13" s="66"/>
      <c r="E13" s="66"/>
      <c r="F13" s="66"/>
      <c r="G13" s="66"/>
      <c r="H13" s="67"/>
      <c r="I13" s="66"/>
      <c r="J13" s="66"/>
      <c r="K13" s="66"/>
      <c r="L13" s="66"/>
      <c r="M13" s="66"/>
      <c r="N13" s="66"/>
      <c r="O13" s="66"/>
      <c r="P13" s="68"/>
      <c r="Q13" s="66"/>
      <c r="R13" s="64"/>
      <c r="S13" s="64"/>
      <c r="T13" s="64"/>
      <c r="U13" s="64"/>
    </row>
    <row r="14" spans="1:21">
      <c r="A14" s="65"/>
      <c r="B14" s="66"/>
      <c r="C14" s="66"/>
      <c r="D14" s="66"/>
      <c r="E14" s="66"/>
      <c r="F14" s="66"/>
      <c r="G14" s="66"/>
      <c r="H14" s="67"/>
      <c r="I14" s="66"/>
      <c r="J14" s="66"/>
      <c r="K14" s="66"/>
      <c r="L14" s="66"/>
      <c r="M14" s="66"/>
      <c r="N14" s="66"/>
      <c r="O14" s="66"/>
      <c r="P14" s="60"/>
      <c r="Q14" s="66"/>
      <c r="R14" s="64"/>
      <c r="S14" s="64"/>
      <c r="T14" s="64"/>
      <c r="U14" s="64"/>
    </row>
    <row r="15" spans="1:21">
      <c r="A15" s="65"/>
      <c r="B15" s="66"/>
      <c r="C15" s="66"/>
      <c r="D15" s="66"/>
      <c r="E15" s="66"/>
      <c r="F15" s="66"/>
      <c r="G15" s="66"/>
      <c r="H15" s="67"/>
      <c r="I15" s="66"/>
      <c r="J15" s="66"/>
      <c r="K15" s="66"/>
      <c r="L15" s="66"/>
      <c r="M15" s="66"/>
      <c r="N15" s="66"/>
      <c r="O15" s="66"/>
      <c r="P15" s="68"/>
      <c r="Q15" s="66"/>
      <c r="R15" s="64"/>
      <c r="S15" s="64"/>
      <c r="T15" s="64"/>
      <c r="U15" s="64"/>
    </row>
    <row r="16" spans="1:21">
      <c r="A16" s="65"/>
      <c r="B16" s="66"/>
      <c r="C16" s="66"/>
      <c r="D16" s="66"/>
      <c r="E16" s="66"/>
      <c r="F16" s="66"/>
      <c r="G16" s="66"/>
      <c r="H16" s="67"/>
      <c r="I16" s="66"/>
      <c r="J16" s="66"/>
      <c r="K16" s="66"/>
      <c r="L16" s="66"/>
      <c r="M16" s="66"/>
      <c r="N16" s="66"/>
      <c r="O16" s="66"/>
      <c r="P16" s="60"/>
      <c r="Q16" s="66"/>
      <c r="R16" s="64"/>
      <c r="S16" s="64"/>
      <c r="T16" s="64"/>
      <c r="U16" s="64"/>
    </row>
    <row r="17" spans="1:2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4"/>
      <c r="R17" s="64"/>
      <c r="S17" s="64"/>
      <c r="T17" s="64"/>
      <c r="U17" s="64"/>
    </row>
    <row r="18" spans="1:2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64"/>
      <c r="R18" s="64"/>
      <c r="S18" s="64"/>
      <c r="T18" s="64"/>
      <c r="U18" s="64"/>
    </row>
    <row r="19" spans="1:2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4"/>
      <c r="R19" s="64"/>
      <c r="S19" s="64"/>
      <c r="T19" s="64"/>
      <c r="U19" s="64"/>
    </row>
    <row r="20" spans="1:2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64"/>
      <c r="R20" s="64"/>
      <c r="S20" s="64"/>
      <c r="T20" s="64"/>
      <c r="U20" s="64"/>
    </row>
    <row r="21" spans="1: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4"/>
      <c r="R21" s="64"/>
      <c r="S21" s="64"/>
      <c r="T21" s="64"/>
      <c r="U21" s="64"/>
    </row>
    <row r="22" spans="1:2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64"/>
      <c r="R22" s="64"/>
      <c r="S22" s="64"/>
      <c r="T22" s="64"/>
      <c r="U22" s="64"/>
    </row>
    <row r="23" spans="1:2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4"/>
      <c r="R23" s="64"/>
      <c r="S23" s="64"/>
      <c r="T23" s="64"/>
      <c r="U23" s="64"/>
    </row>
    <row r="24" spans="1:2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4"/>
      <c r="R24" s="64"/>
      <c r="S24" s="64"/>
      <c r="T24" s="64"/>
      <c r="U24" s="64"/>
    </row>
    <row r="25" spans="1:2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4"/>
      <c r="R25" s="64"/>
      <c r="S25" s="64"/>
      <c r="T25" s="64"/>
      <c r="U25" s="64"/>
    </row>
    <row r="26" spans="1:2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4"/>
      <c r="R26" s="64"/>
      <c r="S26" s="64"/>
      <c r="T26" s="64"/>
      <c r="U26" s="64"/>
    </row>
    <row r="27" spans="1:2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4"/>
      <c r="R27" s="64"/>
      <c r="S27" s="64"/>
      <c r="T27" s="64"/>
      <c r="U27" s="64"/>
    </row>
    <row r="28" spans="1:2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4"/>
      <c r="R28" s="64"/>
      <c r="S28" s="64"/>
      <c r="T28" s="64"/>
      <c r="U28" s="64"/>
    </row>
    <row r="29" spans="1:2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4"/>
      <c r="R29" s="64"/>
      <c r="S29" s="64"/>
      <c r="T29" s="64"/>
      <c r="U29" s="64"/>
    </row>
    <row r="30" spans="1:2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4"/>
      <c r="R30" s="64"/>
      <c r="S30" s="64"/>
      <c r="T30" s="64"/>
      <c r="U30" s="64"/>
    </row>
    <row r="31" spans="1:2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4"/>
      <c r="R31" s="64"/>
      <c r="S31" s="64"/>
      <c r="T31" s="64"/>
      <c r="U31" s="64"/>
    </row>
    <row r="32" spans="1:2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4"/>
      <c r="R32" s="64"/>
      <c r="S32" s="64"/>
      <c r="T32" s="64"/>
      <c r="U32" s="64"/>
    </row>
    <row r="33" spans="1:2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4"/>
      <c r="R33" s="64"/>
      <c r="S33" s="64"/>
      <c r="T33" s="64"/>
      <c r="U33" s="64"/>
    </row>
    <row r="34" spans="1:2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4"/>
      <c r="R34" s="64"/>
      <c r="S34" s="64"/>
      <c r="T34" s="64"/>
      <c r="U34" s="64"/>
    </row>
    <row r="35" spans="1:2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4"/>
      <c r="R35" s="64"/>
      <c r="S35" s="64"/>
      <c r="T35" s="64"/>
      <c r="U35" s="64"/>
    </row>
    <row r="36" spans="1:2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4"/>
      <c r="R36" s="64"/>
      <c r="S36" s="64"/>
      <c r="T36" s="64"/>
      <c r="U36" s="64"/>
    </row>
    <row r="37" spans="1:2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4"/>
      <c r="R37" s="64"/>
      <c r="S37" s="64"/>
      <c r="T37" s="64"/>
      <c r="U37" s="64"/>
    </row>
    <row r="38" spans="1:2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4"/>
      <c r="R38" s="64"/>
      <c r="S38" s="64"/>
      <c r="T38" s="64"/>
      <c r="U38" s="64"/>
    </row>
    <row r="39" spans="1:2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64"/>
      <c r="R39" s="64"/>
      <c r="S39" s="64"/>
      <c r="T39" s="64"/>
      <c r="U39" s="64"/>
    </row>
    <row r="40" spans="1:2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64"/>
      <c r="R40" s="64"/>
      <c r="S40" s="64"/>
      <c r="T40" s="64"/>
      <c r="U40" s="64"/>
    </row>
    <row r="41" spans="1:2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64"/>
      <c r="R41" s="64"/>
      <c r="S41" s="64"/>
      <c r="T41" s="64"/>
      <c r="U41" s="64"/>
    </row>
    <row r="42" spans="1:2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64"/>
      <c r="R42" s="64"/>
      <c r="S42" s="64"/>
      <c r="T42" s="64"/>
      <c r="U42" s="64"/>
    </row>
    <row r="43" spans="1:2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64"/>
      <c r="R43" s="64"/>
      <c r="S43" s="64"/>
      <c r="T43" s="64"/>
      <c r="U43" s="64"/>
    </row>
    <row r="44" spans="1:2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64"/>
      <c r="R44" s="64"/>
      <c r="S44" s="64"/>
      <c r="T44" s="64"/>
      <c r="U44" s="64"/>
    </row>
    <row r="45" spans="1:2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64"/>
      <c r="R45" s="64"/>
      <c r="S45" s="64"/>
      <c r="T45" s="64"/>
      <c r="U45" s="64"/>
    </row>
    <row r="46" spans="1:2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64"/>
      <c r="R46" s="64"/>
      <c r="S46" s="64"/>
      <c r="T46" s="64"/>
      <c r="U46" s="64"/>
    </row>
    <row r="47" spans="1:2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64"/>
      <c r="R47" s="64"/>
      <c r="S47" s="64"/>
      <c r="T47" s="64"/>
      <c r="U47" s="64"/>
    </row>
    <row r="48" spans="1:2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64"/>
      <c r="R48" s="64"/>
      <c r="S48" s="64"/>
      <c r="T48" s="64"/>
      <c r="U48" s="64"/>
    </row>
    <row r="49" spans="1:2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64"/>
      <c r="R49" s="64"/>
      <c r="S49" s="64"/>
      <c r="T49" s="64"/>
      <c r="U49" s="64"/>
    </row>
    <row r="50" spans="1:2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64"/>
      <c r="R50" s="64"/>
      <c r="S50" s="64"/>
      <c r="T50" s="64"/>
      <c r="U50" s="64"/>
    </row>
    <row r="51" spans="1:2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64"/>
      <c r="R51" s="64"/>
      <c r="S51" s="64"/>
      <c r="T51" s="64"/>
      <c r="U51" s="64"/>
    </row>
    <row r="52" spans="1:2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64"/>
      <c r="R52" s="64"/>
      <c r="S52" s="64"/>
      <c r="T52" s="64"/>
      <c r="U52" s="64"/>
    </row>
    <row r="53" spans="1:21">
      <c r="A53" s="56"/>
      <c r="B53" s="56"/>
      <c r="C53" s="56"/>
      <c r="D53" s="56"/>
      <c r="E53" s="56"/>
      <c r="F53" s="56"/>
      <c r="G53" s="56"/>
      <c r="H53" s="57"/>
      <c r="I53" s="56"/>
      <c r="J53" s="56"/>
      <c r="K53" s="56"/>
      <c r="L53" s="56"/>
      <c r="M53" s="56"/>
      <c r="N53" s="56"/>
      <c r="O53" s="56"/>
      <c r="P53" s="59"/>
    </row>
    <row r="54" spans="1:21">
      <c r="A54" s="56"/>
      <c r="B54" s="56"/>
      <c r="C54" s="56"/>
      <c r="D54" s="56"/>
      <c r="E54" s="56"/>
      <c r="F54" s="56"/>
      <c r="G54" s="56"/>
      <c r="H54" s="57"/>
      <c r="I54" s="56"/>
      <c r="J54" s="56"/>
      <c r="K54" s="56"/>
      <c r="L54" s="56"/>
      <c r="M54" s="56"/>
      <c r="N54" s="56"/>
      <c r="O54" s="56"/>
      <c r="P54" s="59"/>
    </row>
    <row r="55" spans="1:21">
      <c r="A55" s="56"/>
      <c r="B55" s="56"/>
      <c r="C55" s="56"/>
      <c r="D55" s="56"/>
      <c r="E55" s="56"/>
      <c r="F55" s="56"/>
      <c r="G55" s="56"/>
      <c r="H55" s="57"/>
      <c r="I55" s="56"/>
      <c r="J55" s="56"/>
      <c r="K55" s="56"/>
      <c r="L55" s="56"/>
      <c r="M55" s="56"/>
      <c r="N55" s="56"/>
      <c r="O55" s="56"/>
      <c r="P55" s="59"/>
    </row>
    <row r="56" spans="1:21">
      <c r="A56" s="56"/>
      <c r="B56" s="56"/>
      <c r="C56" s="56"/>
      <c r="D56" s="56"/>
      <c r="E56" s="56"/>
      <c r="F56" s="56"/>
      <c r="G56" s="56"/>
      <c r="H56" s="57"/>
      <c r="I56" s="56"/>
      <c r="J56" s="56"/>
      <c r="K56" s="56"/>
      <c r="L56" s="56"/>
      <c r="M56" s="56"/>
      <c r="N56" s="56"/>
      <c r="O56" s="56"/>
      <c r="P56" s="59"/>
    </row>
    <row r="57" spans="1:21">
      <c r="A57" s="56"/>
      <c r="B57" s="56"/>
      <c r="C57" s="56"/>
      <c r="D57" s="56"/>
      <c r="E57" s="56"/>
      <c r="F57" s="56"/>
      <c r="G57" s="56"/>
      <c r="H57" s="57"/>
      <c r="I57" s="56"/>
      <c r="J57" s="56"/>
      <c r="K57" s="56"/>
      <c r="L57" s="56"/>
      <c r="M57" s="56"/>
      <c r="N57" s="56"/>
      <c r="O57" s="56"/>
      <c r="P57" s="59"/>
    </row>
    <row r="58" spans="1:21">
      <c r="A58" s="56"/>
      <c r="B58" s="56"/>
      <c r="C58" s="56"/>
      <c r="D58" s="56"/>
      <c r="E58" s="56"/>
      <c r="F58" s="56"/>
      <c r="G58" s="56"/>
      <c r="H58" s="57"/>
      <c r="I58" s="56"/>
      <c r="J58" s="56"/>
      <c r="K58" s="56"/>
      <c r="L58" s="56"/>
      <c r="M58" s="56"/>
      <c r="N58" s="56"/>
      <c r="O58" s="56"/>
      <c r="P58" s="59"/>
    </row>
    <row r="59" spans="1:21">
      <c r="A59" s="56"/>
      <c r="B59" s="56"/>
      <c r="C59" s="56"/>
      <c r="D59" s="56"/>
      <c r="E59" s="56"/>
      <c r="F59" s="56"/>
      <c r="G59" s="56"/>
      <c r="H59" s="57"/>
      <c r="I59" s="56"/>
      <c r="J59" s="56"/>
      <c r="K59" s="56"/>
      <c r="L59" s="56"/>
      <c r="M59" s="56"/>
      <c r="N59" s="56"/>
      <c r="O59" s="56"/>
      <c r="P59" s="59"/>
    </row>
    <row r="60" spans="1:21">
      <c r="A60" s="56"/>
      <c r="B60" s="56"/>
      <c r="C60" s="56"/>
      <c r="D60" s="56"/>
      <c r="E60" s="56"/>
      <c r="F60" s="56"/>
      <c r="G60" s="56"/>
      <c r="H60" s="57"/>
      <c r="I60" s="56"/>
      <c r="J60" s="56"/>
      <c r="K60" s="56"/>
      <c r="L60" s="56"/>
      <c r="M60" s="56"/>
      <c r="N60" s="56"/>
      <c r="O60" s="56"/>
      <c r="P60" s="59"/>
    </row>
    <row r="61" spans="1:21">
      <c r="A61" s="56"/>
      <c r="B61" s="56"/>
      <c r="C61" s="56"/>
      <c r="D61" s="56"/>
      <c r="E61" s="56"/>
      <c r="F61" s="56"/>
      <c r="G61" s="56"/>
      <c r="H61" s="57"/>
      <c r="I61" s="56"/>
      <c r="J61" s="56"/>
      <c r="K61" s="56"/>
      <c r="L61" s="56"/>
      <c r="M61" s="56"/>
      <c r="N61" s="56"/>
      <c r="O61" s="56"/>
      <c r="P61" s="59"/>
    </row>
    <row r="62" spans="1:21">
      <c r="A62" s="56"/>
      <c r="B62" s="56"/>
      <c r="C62" s="56"/>
      <c r="D62" s="56"/>
      <c r="E62" s="56"/>
      <c r="F62" s="56"/>
      <c r="G62" s="56"/>
      <c r="H62" s="57"/>
      <c r="I62" s="56"/>
      <c r="J62" s="56"/>
      <c r="K62" s="56"/>
      <c r="L62" s="56"/>
      <c r="M62" s="56"/>
      <c r="N62" s="56"/>
      <c r="O62" s="56"/>
      <c r="P62" s="59"/>
    </row>
    <row r="63" spans="1:21">
      <c r="A63" s="56"/>
      <c r="B63" s="56"/>
      <c r="C63" s="56"/>
      <c r="D63" s="56"/>
      <c r="E63" s="56"/>
      <c r="F63" s="56"/>
      <c r="G63" s="56"/>
      <c r="H63" s="57"/>
      <c r="I63" s="56"/>
      <c r="J63" s="56"/>
      <c r="K63" s="56"/>
      <c r="L63" s="56"/>
      <c r="M63" s="56"/>
      <c r="N63" s="56"/>
      <c r="O63" s="56"/>
      <c r="P63" s="59"/>
    </row>
    <row r="64" spans="1:21">
      <c r="A64" s="56"/>
      <c r="B64" s="56"/>
      <c r="C64" s="56"/>
      <c r="D64" s="56"/>
      <c r="E64" s="56"/>
      <c r="F64" s="56"/>
      <c r="G64" s="56"/>
      <c r="H64" s="57"/>
      <c r="I64" s="56"/>
      <c r="J64" s="56"/>
      <c r="K64" s="56"/>
      <c r="L64" s="56"/>
      <c r="M64" s="56"/>
      <c r="N64" s="56"/>
      <c r="O64" s="56"/>
      <c r="P64" s="59"/>
    </row>
    <row r="65" spans="1:16">
      <c r="A65" s="56"/>
      <c r="B65" s="56"/>
      <c r="C65" s="56"/>
      <c r="D65" s="56"/>
      <c r="E65" s="56"/>
      <c r="F65" s="56"/>
      <c r="G65" s="56"/>
      <c r="H65" s="57"/>
      <c r="I65" s="56"/>
      <c r="J65" s="56"/>
      <c r="K65" s="56"/>
      <c r="L65" s="56"/>
      <c r="M65" s="56"/>
      <c r="N65" s="56"/>
      <c r="O65" s="56"/>
      <c r="P65" s="59"/>
    </row>
    <row r="66" spans="1:16">
      <c r="A66" s="56"/>
      <c r="B66" s="56"/>
      <c r="C66" s="56"/>
      <c r="D66" s="56"/>
      <c r="E66" s="56"/>
      <c r="F66" s="56"/>
      <c r="G66" s="56"/>
      <c r="H66" s="57"/>
      <c r="I66" s="56"/>
      <c r="J66" s="56"/>
      <c r="K66" s="56"/>
      <c r="L66" s="56"/>
      <c r="M66" s="56"/>
      <c r="N66" s="56"/>
      <c r="O66" s="56"/>
      <c r="P66" s="59"/>
    </row>
    <row r="67" spans="1:16">
      <c r="A67" s="56"/>
      <c r="B67" s="56"/>
      <c r="C67" s="56"/>
      <c r="D67" s="56"/>
      <c r="E67" s="56"/>
      <c r="F67" s="56"/>
      <c r="G67" s="56"/>
      <c r="H67" s="57"/>
      <c r="I67" s="56"/>
      <c r="J67" s="56"/>
      <c r="K67" s="56"/>
      <c r="L67" s="56"/>
      <c r="M67" s="56"/>
      <c r="N67" s="56"/>
      <c r="O67" s="56"/>
      <c r="P67" s="59"/>
    </row>
    <row r="68" spans="1:16">
      <c r="A68" s="56"/>
      <c r="B68" s="56"/>
      <c r="C68" s="56"/>
      <c r="D68" s="56"/>
      <c r="E68" s="56"/>
      <c r="F68" s="56"/>
      <c r="G68" s="56"/>
      <c r="H68" s="57"/>
      <c r="I68" s="56"/>
      <c r="J68" s="56"/>
      <c r="K68" s="56"/>
      <c r="L68" s="56"/>
      <c r="M68" s="56"/>
      <c r="N68" s="56"/>
      <c r="O68" s="56"/>
      <c r="P68" s="59"/>
    </row>
    <row r="69" spans="1:16">
      <c r="A69" s="56"/>
      <c r="B69" s="56"/>
      <c r="C69" s="56"/>
      <c r="D69" s="56"/>
      <c r="E69" s="56"/>
      <c r="F69" s="56"/>
      <c r="G69" s="56"/>
      <c r="H69" s="57"/>
      <c r="I69" s="56"/>
      <c r="J69" s="56"/>
      <c r="K69" s="56"/>
      <c r="L69" s="56"/>
      <c r="M69" s="56"/>
      <c r="N69" s="56"/>
      <c r="O69" s="56"/>
      <c r="P69" s="59"/>
    </row>
    <row r="70" spans="1:16">
      <c r="A70" s="56"/>
      <c r="B70" s="56"/>
      <c r="C70" s="56"/>
      <c r="D70" s="56"/>
      <c r="E70" s="56"/>
      <c r="F70" s="56"/>
      <c r="G70" s="56"/>
      <c r="H70" s="57"/>
      <c r="I70" s="56"/>
      <c r="J70" s="56"/>
      <c r="K70" s="56"/>
      <c r="L70" s="56"/>
      <c r="M70" s="56"/>
      <c r="N70" s="56"/>
      <c r="O70" s="56"/>
      <c r="P70" s="59"/>
    </row>
    <row r="71" spans="1:16">
      <c r="A71" s="56"/>
      <c r="B71" s="56"/>
      <c r="C71" s="56"/>
      <c r="D71" s="56"/>
      <c r="E71" s="56"/>
      <c r="F71" s="56"/>
      <c r="G71" s="56"/>
      <c r="H71" s="57"/>
      <c r="I71" s="56"/>
      <c r="J71" s="56"/>
      <c r="K71" s="56"/>
      <c r="L71" s="56"/>
      <c r="M71" s="56"/>
      <c r="N71" s="56"/>
      <c r="O71" s="56"/>
      <c r="P71" s="59"/>
    </row>
    <row r="72" spans="1:16">
      <c r="A72" s="56"/>
      <c r="B72" s="56"/>
      <c r="C72" s="56"/>
      <c r="D72" s="56"/>
      <c r="E72" s="56"/>
      <c r="F72" s="56"/>
      <c r="G72" s="56"/>
      <c r="H72" s="57"/>
      <c r="I72" s="56"/>
      <c r="J72" s="56"/>
      <c r="K72" s="56"/>
      <c r="L72" s="56"/>
      <c r="M72" s="56"/>
      <c r="N72" s="56"/>
      <c r="O72" s="56"/>
      <c r="P72" s="59"/>
    </row>
    <row r="73" spans="1:16">
      <c r="A73" s="56"/>
      <c r="B73" s="56"/>
      <c r="C73" s="56"/>
      <c r="D73" s="56"/>
      <c r="E73" s="56"/>
      <c r="F73" s="56"/>
      <c r="G73" s="56"/>
      <c r="H73" s="57"/>
      <c r="I73" s="56"/>
      <c r="J73" s="56"/>
      <c r="K73" s="56"/>
      <c r="L73" s="56"/>
      <c r="M73" s="56"/>
      <c r="N73" s="56"/>
      <c r="O73" s="56"/>
      <c r="P73" s="59"/>
    </row>
    <row r="74" spans="1:16">
      <c r="A74" s="56"/>
      <c r="B74" s="56"/>
      <c r="C74" s="56"/>
      <c r="D74" s="56"/>
      <c r="E74" s="56"/>
      <c r="F74" s="56"/>
      <c r="G74" s="56"/>
      <c r="H74" s="57"/>
      <c r="I74" s="56"/>
      <c r="J74" s="56"/>
      <c r="K74" s="56"/>
      <c r="L74" s="56"/>
      <c r="M74" s="56"/>
      <c r="N74" s="56"/>
      <c r="O74" s="56"/>
      <c r="P74" s="59"/>
    </row>
    <row r="75" spans="1:16">
      <c r="A75" s="56"/>
      <c r="B75" s="56"/>
      <c r="C75" s="56"/>
      <c r="D75" s="56"/>
      <c r="E75" s="56"/>
      <c r="F75" s="56"/>
      <c r="G75" s="56"/>
      <c r="H75" s="57"/>
      <c r="I75" s="56"/>
      <c r="J75" s="56"/>
      <c r="K75" s="56"/>
      <c r="L75" s="56"/>
      <c r="M75" s="56"/>
      <c r="N75" s="56"/>
      <c r="O75" s="56"/>
      <c r="P75" s="59"/>
    </row>
    <row r="76" spans="1:16">
      <c r="A76" s="56"/>
      <c r="B76" s="56"/>
      <c r="C76" s="56"/>
      <c r="D76" s="56"/>
      <c r="E76" s="56"/>
      <c r="F76" s="56"/>
      <c r="G76" s="56"/>
      <c r="H76" s="57"/>
      <c r="I76" s="56"/>
      <c r="J76" s="56"/>
      <c r="K76" s="56"/>
      <c r="L76" s="56"/>
      <c r="M76" s="56"/>
      <c r="N76" s="56"/>
      <c r="O76" s="56"/>
      <c r="P76" s="59"/>
    </row>
    <row r="77" spans="1:16">
      <c r="A77" s="56"/>
      <c r="B77" s="56"/>
      <c r="C77" s="56"/>
      <c r="D77" s="56"/>
      <c r="E77" s="56"/>
      <c r="F77" s="56"/>
      <c r="G77" s="56"/>
      <c r="H77" s="57"/>
      <c r="I77" s="56"/>
      <c r="J77" s="56"/>
      <c r="K77" s="56"/>
      <c r="L77" s="56"/>
      <c r="M77" s="56"/>
      <c r="N77" s="56"/>
      <c r="O77" s="56"/>
      <c r="P77" s="59"/>
    </row>
    <row r="78" spans="1:16">
      <c r="A78" s="56"/>
      <c r="B78" s="56"/>
      <c r="C78" s="56"/>
      <c r="D78" s="56"/>
      <c r="E78" s="56"/>
      <c r="F78" s="56"/>
      <c r="G78" s="56"/>
      <c r="H78" s="57"/>
      <c r="I78" s="56"/>
      <c r="J78" s="56"/>
      <c r="K78" s="56"/>
      <c r="L78" s="56"/>
      <c r="M78" s="56"/>
      <c r="N78" s="56"/>
      <c r="O78" s="56"/>
      <c r="P78" s="59"/>
    </row>
    <row r="79" spans="1:16">
      <c r="A79" s="56"/>
      <c r="B79" s="56"/>
      <c r="C79" s="56"/>
      <c r="D79" s="56"/>
      <c r="E79" s="56"/>
      <c r="F79" s="56"/>
      <c r="G79" s="56"/>
      <c r="H79" s="57"/>
      <c r="I79" s="56"/>
      <c r="J79" s="56"/>
      <c r="K79" s="56"/>
      <c r="L79" s="56"/>
      <c r="M79" s="56"/>
      <c r="N79" s="56"/>
      <c r="O79" s="56"/>
      <c r="P79" s="59"/>
    </row>
    <row r="80" spans="1:16">
      <c r="A80" s="56"/>
      <c r="B80" s="56"/>
      <c r="C80" s="56"/>
      <c r="D80" s="56"/>
      <c r="E80" s="56"/>
      <c r="F80" s="56"/>
      <c r="G80" s="56"/>
      <c r="H80" s="57"/>
      <c r="I80" s="56"/>
      <c r="J80" s="56"/>
      <c r="K80" s="56"/>
      <c r="L80" s="56"/>
      <c r="M80" s="56"/>
      <c r="N80" s="56"/>
      <c r="O80" s="56"/>
      <c r="P80" s="59"/>
    </row>
    <row r="81" spans="1:16">
      <c r="A81" s="56"/>
      <c r="B81" s="56"/>
      <c r="C81" s="56"/>
      <c r="D81" s="56"/>
      <c r="E81" s="56"/>
      <c r="F81" s="56"/>
      <c r="G81" s="56"/>
      <c r="H81" s="57"/>
      <c r="I81" s="56"/>
      <c r="J81" s="56"/>
      <c r="K81" s="56"/>
      <c r="L81" s="56"/>
      <c r="M81" s="56"/>
      <c r="N81" s="56"/>
      <c r="O81" s="56"/>
      <c r="P81" s="59"/>
    </row>
    <row r="82" spans="1:16">
      <c r="A82" s="56"/>
      <c r="B82" s="56"/>
      <c r="C82" s="56"/>
      <c r="D82" s="56"/>
      <c r="E82" s="56"/>
      <c r="F82" s="56"/>
      <c r="G82" s="56"/>
      <c r="H82" s="57"/>
      <c r="I82" s="56"/>
      <c r="J82" s="56"/>
      <c r="K82" s="56"/>
      <c r="L82" s="56"/>
      <c r="M82" s="56"/>
      <c r="N82" s="56"/>
      <c r="O82" s="56"/>
      <c r="P82" s="59"/>
    </row>
    <row r="83" spans="1:16">
      <c r="A83" s="56"/>
      <c r="B83" s="56"/>
      <c r="C83" s="56"/>
      <c r="D83" s="56"/>
      <c r="E83" s="56"/>
      <c r="F83" s="56"/>
      <c r="G83" s="56"/>
      <c r="H83" s="57"/>
      <c r="I83" s="56"/>
      <c r="J83" s="56"/>
      <c r="K83" s="56"/>
      <c r="L83" s="56"/>
      <c r="M83" s="56"/>
      <c r="N83" s="56"/>
      <c r="O83" s="56"/>
      <c r="P83" s="59"/>
    </row>
    <row r="84" spans="1:16">
      <c r="A84" s="56"/>
      <c r="B84" s="56"/>
      <c r="C84" s="56"/>
      <c r="D84" s="56"/>
      <c r="E84" s="56"/>
      <c r="F84" s="56"/>
      <c r="G84" s="56"/>
      <c r="H84" s="57"/>
      <c r="I84" s="56"/>
      <c r="J84" s="56"/>
      <c r="K84" s="56"/>
      <c r="L84" s="56"/>
      <c r="M84" s="56"/>
      <c r="N84" s="56"/>
      <c r="O84" s="56"/>
      <c r="P84" s="59"/>
    </row>
    <row r="85" spans="1:16">
      <c r="A85" s="56"/>
      <c r="B85" s="56"/>
      <c r="C85" s="56"/>
      <c r="D85" s="56"/>
      <c r="E85" s="56"/>
      <c r="F85" s="56"/>
      <c r="G85" s="56"/>
      <c r="H85" s="57"/>
      <c r="I85" s="56"/>
      <c r="J85" s="56"/>
      <c r="K85" s="56"/>
      <c r="L85" s="56"/>
      <c r="M85" s="56"/>
      <c r="N85" s="56"/>
      <c r="O85" s="56"/>
      <c r="P85" s="59"/>
    </row>
    <row r="86" spans="1:16">
      <c r="A86" s="56"/>
      <c r="B86" s="56"/>
      <c r="C86" s="56"/>
      <c r="D86" s="56"/>
      <c r="E86" s="56"/>
      <c r="F86" s="56"/>
      <c r="G86" s="56"/>
      <c r="H86" s="57"/>
      <c r="I86" s="56"/>
      <c r="J86" s="56"/>
      <c r="K86" s="56"/>
      <c r="L86" s="56"/>
      <c r="M86" s="56"/>
      <c r="N86" s="56"/>
      <c r="O86" s="56"/>
      <c r="P86" s="59"/>
    </row>
    <row r="87" spans="1:16">
      <c r="A87" s="56"/>
      <c r="B87" s="56"/>
      <c r="C87" s="56"/>
      <c r="D87" s="56"/>
      <c r="E87" s="56"/>
      <c r="F87" s="56"/>
      <c r="G87" s="56"/>
      <c r="H87" s="57"/>
      <c r="I87" s="56"/>
      <c r="J87" s="56"/>
      <c r="K87" s="56"/>
      <c r="L87" s="56"/>
      <c r="M87" s="56"/>
      <c r="N87" s="56"/>
      <c r="O87" s="56"/>
      <c r="P87" s="59"/>
    </row>
    <row r="88" spans="1:16">
      <c r="A88" s="56"/>
      <c r="B88" s="56"/>
      <c r="C88" s="56"/>
      <c r="D88" s="56"/>
      <c r="E88" s="56"/>
      <c r="F88" s="56"/>
      <c r="G88" s="56"/>
      <c r="H88" s="57"/>
      <c r="I88" s="56"/>
      <c r="J88" s="56"/>
      <c r="K88" s="56"/>
      <c r="L88" s="56"/>
      <c r="M88" s="56"/>
      <c r="N88" s="56"/>
      <c r="O88" s="56"/>
      <c r="P88" s="59"/>
    </row>
    <row r="89" spans="1:16">
      <c r="A89" s="56"/>
      <c r="B89" s="56"/>
      <c r="C89" s="56"/>
      <c r="D89" s="56"/>
      <c r="E89" s="56"/>
      <c r="F89" s="56"/>
      <c r="G89" s="56"/>
      <c r="H89" s="57"/>
      <c r="I89" s="56"/>
      <c r="J89" s="56"/>
      <c r="K89" s="56"/>
      <c r="L89" s="56"/>
      <c r="M89" s="56"/>
      <c r="N89" s="56"/>
      <c r="O89" s="56"/>
      <c r="P89" s="59"/>
    </row>
    <row r="90" spans="1:16">
      <c r="A90" s="56"/>
      <c r="B90" s="56"/>
      <c r="C90" s="56"/>
      <c r="D90" s="56"/>
      <c r="E90" s="56"/>
      <c r="F90" s="56"/>
      <c r="G90" s="56"/>
      <c r="H90" s="57"/>
      <c r="I90" s="56"/>
      <c r="J90" s="56"/>
      <c r="K90" s="56"/>
      <c r="L90" s="56"/>
      <c r="M90" s="56"/>
      <c r="N90" s="56"/>
      <c r="O90" s="56"/>
      <c r="P90" s="59"/>
    </row>
    <row r="91" spans="1:16">
      <c r="A91" s="56"/>
      <c r="B91" s="56"/>
      <c r="C91" s="56"/>
      <c r="D91" s="56"/>
      <c r="E91" s="56"/>
      <c r="F91" s="56"/>
      <c r="G91" s="56"/>
      <c r="H91" s="57"/>
      <c r="I91" s="56"/>
      <c r="J91" s="56"/>
      <c r="K91" s="56"/>
      <c r="L91" s="56"/>
      <c r="M91" s="56"/>
      <c r="N91" s="56"/>
      <c r="O91" s="56"/>
      <c r="P91" s="59"/>
    </row>
    <row r="92" spans="1:16">
      <c r="A92" s="56"/>
      <c r="B92" s="56"/>
      <c r="C92" s="56"/>
      <c r="D92" s="56"/>
      <c r="E92" s="56"/>
      <c r="F92" s="56"/>
      <c r="G92" s="56"/>
      <c r="H92" s="57"/>
      <c r="I92" s="56"/>
      <c r="J92" s="56"/>
      <c r="K92" s="56"/>
      <c r="L92" s="56"/>
      <c r="M92" s="56"/>
      <c r="N92" s="56"/>
      <c r="O92" s="56"/>
      <c r="P92" s="59"/>
    </row>
    <row r="93" spans="1:16">
      <c r="A93" s="56"/>
      <c r="B93" s="56"/>
      <c r="C93" s="56"/>
      <c r="D93" s="56"/>
      <c r="E93" s="56"/>
      <c r="F93" s="56"/>
      <c r="G93" s="56"/>
      <c r="H93" s="57"/>
      <c r="I93" s="56"/>
      <c r="J93" s="56"/>
      <c r="K93" s="56"/>
      <c r="L93" s="56"/>
      <c r="M93" s="56"/>
      <c r="N93" s="56"/>
      <c r="O93" s="56"/>
      <c r="P93" s="59"/>
    </row>
    <row r="94" spans="1:16">
      <c r="A94" s="56"/>
      <c r="B94" s="56"/>
      <c r="C94" s="56"/>
      <c r="D94" s="56"/>
      <c r="E94" s="56"/>
      <c r="F94" s="56"/>
      <c r="G94" s="56"/>
      <c r="H94" s="57"/>
      <c r="I94" s="56"/>
      <c r="J94" s="56"/>
      <c r="K94" s="56"/>
      <c r="L94" s="56"/>
      <c r="M94" s="56"/>
      <c r="N94" s="56"/>
      <c r="O94" s="56"/>
      <c r="P94" s="59"/>
    </row>
    <row r="95" spans="1:16">
      <c r="A95" s="56"/>
      <c r="B95" s="56"/>
      <c r="C95" s="56"/>
      <c r="D95" s="56"/>
      <c r="E95" s="56"/>
      <c r="F95" s="56"/>
      <c r="G95" s="56"/>
      <c r="H95" s="57"/>
      <c r="I95" s="56"/>
      <c r="J95" s="56"/>
      <c r="K95" s="56"/>
      <c r="L95" s="56"/>
      <c r="M95" s="56"/>
      <c r="N95" s="56"/>
      <c r="O95" s="56"/>
      <c r="P95" s="59"/>
    </row>
    <row r="96" spans="1:16">
      <c r="A96" s="56"/>
      <c r="B96" s="56"/>
      <c r="C96" s="56"/>
      <c r="D96" s="56"/>
      <c r="E96" s="56"/>
      <c r="F96" s="56"/>
      <c r="G96" s="56"/>
      <c r="H96" s="57"/>
      <c r="I96" s="56"/>
      <c r="J96" s="56"/>
      <c r="K96" s="56"/>
      <c r="L96" s="56"/>
      <c r="M96" s="56"/>
      <c r="N96" s="56"/>
      <c r="O96" s="56"/>
      <c r="P96" s="59"/>
    </row>
    <row r="97" spans="1:16">
      <c r="A97" s="56"/>
      <c r="B97" s="56"/>
      <c r="C97" s="56"/>
      <c r="D97" s="56"/>
      <c r="E97" s="56"/>
      <c r="F97" s="56"/>
      <c r="G97" s="56"/>
      <c r="H97" s="57"/>
      <c r="I97" s="56"/>
      <c r="J97" s="56"/>
      <c r="K97" s="56"/>
      <c r="L97" s="56"/>
      <c r="M97" s="56"/>
      <c r="N97" s="56"/>
      <c r="O97" s="56"/>
      <c r="P97" s="59"/>
    </row>
    <row r="98" spans="1:16">
      <c r="A98" s="56"/>
      <c r="B98" s="56"/>
      <c r="C98" s="56"/>
      <c r="D98" s="56"/>
      <c r="E98" s="56"/>
      <c r="F98" s="56"/>
      <c r="G98" s="56"/>
      <c r="H98" s="57"/>
      <c r="I98" s="56"/>
      <c r="J98" s="56"/>
      <c r="K98" s="56"/>
      <c r="L98" s="56"/>
      <c r="M98" s="56"/>
      <c r="N98" s="56"/>
      <c r="O98" s="56"/>
      <c r="P98" s="59"/>
    </row>
    <row r="99" spans="1:16">
      <c r="A99" s="56"/>
      <c r="B99" s="56"/>
      <c r="C99" s="56"/>
      <c r="D99" s="56"/>
      <c r="E99" s="56"/>
      <c r="F99" s="56"/>
      <c r="G99" s="56"/>
      <c r="H99" s="57"/>
      <c r="I99" s="56"/>
      <c r="J99" s="56"/>
      <c r="K99" s="56"/>
      <c r="L99" s="56"/>
      <c r="M99" s="56"/>
      <c r="N99" s="56"/>
      <c r="O99" s="56"/>
      <c r="P99" s="59"/>
    </row>
    <row r="100" spans="1:16">
      <c r="A100" s="56"/>
      <c r="B100" s="56"/>
      <c r="C100" s="56"/>
      <c r="D100" s="56"/>
      <c r="E100" s="56"/>
      <c r="F100" s="56"/>
      <c r="G100" s="56"/>
      <c r="H100" s="57"/>
      <c r="I100" s="56"/>
      <c r="J100" s="56"/>
      <c r="K100" s="56"/>
      <c r="L100" s="56"/>
      <c r="M100" s="56"/>
      <c r="N100" s="56"/>
      <c r="O100" s="56"/>
      <c r="P100" s="59"/>
    </row>
    <row r="101" spans="1:16">
      <c r="A101" s="56"/>
      <c r="B101" s="56"/>
      <c r="C101" s="56"/>
      <c r="D101" s="56"/>
      <c r="E101" s="56"/>
      <c r="F101" s="56"/>
      <c r="G101" s="56"/>
      <c r="H101" s="57"/>
      <c r="I101" s="56"/>
      <c r="J101" s="56"/>
      <c r="K101" s="56"/>
      <c r="L101" s="56"/>
      <c r="M101" s="56"/>
      <c r="N101" s="56"/>
      <c r="O101" s="56"/>
      <c r="P101" s="5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A5D7-EAE4-429E-9132-2E00C1F65018}">
  <dimension ref="A1:V26"/>
  <sheetViews>
    <sheetView tabSelected="1" workbookViewId="0">
      <selection activeCell="J15" sqref="J15:M15"/>
    </sheetView>
  </sheetViews>
  <sheetFormatPr baseColWidth="10" defaultColWidth="9.1640625" defaultRowHeight="14"/>
  <cols>
    <col min="1" max="1" width="4.33203125" style="2" customWidth="1"/>
    <col min="2" max="2" width="15" style="9" bestFit="1" customWidth="1"/>
    <col min="3" max="3" width="20.1640625" style="2" customWidth="1"/>
    <col min="4" max="4" width="31.5" style="2" customWidth="1"/>
    <col min="5" max="5" width="22.83203125" style="2" customWidth="1"/>
    <col min="6" max="7" width="12.5" style="2" customWidth="1"/>
    <col min="8" max="8" width="10.6640625" style="2" customWidth="1"/>
    <col min="9" max="9" width="12.5" style="2" customWidth="1"/>
    <col min="10" max="10" width="19.83203125" style="2" customWidth="1"/>
    <col min="11" max="11" width="10.1640625" style="2" customWidth="1"/>
    <col min="12" max="12" width="14.5" style="2" customWidth="1"/>
    <col min="13" max="13" width="20.83203125" style="2" customWidth="1"/>
    <col min="14" max="14" width="15.5" style="2" customWidth="1"/>
    <col min="15" max="15" width="43.83203125" style="2" customWidth="1"/>
    <col min="16" max="16384" width="9.1640625" style="2"/>
  </cols>
  <sheetData>
    <row r="1" spans="1:19" s="3" customFormat="1" ht="16.5" customHeight="1">
      <c r="A1" s="83" t="s">
        <v>506</v>
      </c>
      <c r="B1" s="83"/>
      <c r="C1" s="83"/>
      <c r="D1" s="83"/>
      <c r="E1" s="83"/>
      <c r="F1" s="84"/>
      <c r="G1" s="84"/>
      <c r="H1" s="84"/>
      <c r="I1" s="84"/>
      <c r="J1" s="84"/>
      <c r="K1" s="84"/>
      <c r="L1" s="84"/>
      <c r="M1" s="84"/>
    </row>
    <row r="2" spans="1:19" s="3" customFormat="1" ht="16.5" customHeight="1">
      <c r="A2" s="84" t="s">
        <v>507</v>
      </c>
      <c r="B2" s="84"/>
      <c r="C2" s="84"/>
      <c r="D2" s="84"/>
      <c r="E2" s="84"/>
      <c r="F2" s="85"/>
      <c r="G2" s="85"/>
      <c r="H2" s="85"/>
      <c r="I2" s="85"/>
      <c r="J2" s="85"/>
      <c r="K2" s="85"/>
      <c r="L2" s="85"/>
      <c r="M2" s="85"/>
    </row>
    <row r="3" spans="1:19" s="3" customFormat="1" ht="16.5" customHeight="1">
      <c r="A3" s="83"/>
      <c r="B3" s="83"/>
      <c r="C3" s="83"/>
      <c r="D3" s="83"/>
      <c r="E3" s="83"/>
      <c r="F3" s="86"/>
      <c r="G3" s="86"/>
      <c r="H3" s="86"/>
      <c r="I3" s="86"/>
      <c r="J3" s="86"/>
      <c r="K3" s="86"/>
      <c r="L3" s="86"/>
      <c r="M3" s="86"/>
    </row>
    <row r="4" spans="1:19" s="4" customFormat="1" ht="20.25" customHeight="1">
      <c r="A4" s="76" t="str">
        <f>"DANH SÁCH CHI TIỀN CÔNG ĐOÀN PHÚC LỢI CĐBP KHỐI 3 THÁNG "&amp;MONTH('Danh sách yêu cầu thanh toán'!C5)&amp;" "&amp;YEAR('Danh sách yêu cầu thanh toán'!C5)</f>
        <v>DANH SÁCH CHI TIỀN CÔNG ĐOÀN PHÚC LỢI CĐBP KHỐI 3 THÁNG 6 2025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9" s="5" customFormat="1" ht="15" customHeight="1">
      <c r="A5" s="77" t="str">
        <f>"(Kèm theo phiếu chi số PC_CĐCS số              ngày    /       /"&amp;YEAR('Danh sách yêu cầu thanh toán'!C5)&amp;")"</f>
        <v>(Kèm theo phiếu chi số PC_CĐCS số              ngày    /       /2025)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0"/>
      <c r="O5" s="10"/>
      <c r="P5" s="10"/>
      <c r="Q5" s="10"/>
      <c r="R5" s="10"/>
      <c r="S5" s="10"/>
    </row>
    <row r="6" spans="1:19" ht="18.75" customHeight="1">
      <c r="A6" s="4"/>
      <c r="B6" s="11"/>
      <c r="C6" s="4"/>
      <c r="D6" s="4"/>
      <c r="E6" s="12"/>
      <c r="F6" s="4"/>
      <c r="G6" s="4"/>
      <c r="H6" s="4"/>
      <c r="I6" s="13"/>
    </row>
    <row r="7" spans="1:19" s="6" customFormat="1" ht="45">
      <c r="A7" s="43" t="s">
        <v>508</v>
      </c>
      <c r="B7" s="44" t="s">
        <v>509</v>
      </c>
      <c r="C7" s="43" t="s">
        <v>510</v>
      </c>
      <c r="D7" s="43" t="s">
        <v>511</v>
      </c>
      <c r="E7" s="44" t="s">
        <v>512</v>
      </c>
      <c r="F7" s="45" t="s">
        <v>513</v>
      </c>
      <c r="G7" s="45" t="s">
        <v>514</v>
      </c>
      <c r="H7" s="45" t="s">
        <v>515</v>
      </c>
      <c r="I7" s="43" t="s">
        <v>516</v>
      </c>
      <c r="J7" s="46" t="s">
        <v>517</v>
      </c>
      <c r="K7" s="46" t="s">
        <v>518</v>
      </c>
      <c r="L7" s="46" t="s">
        <v>519</v>
      </c>
      <c r="M7" s="46" t="s">
        <v>520</v>
      </c>
    </row>
    <row r="8" spans="1:19" s="6" customFormat="1" ht="34">
      <c r="A8" s="47">
        <f>ROWS($B$8:B8)</f>
        <v>1</v>
      </c>
      <c r="B8" s="48" t="s">
        <v>270</v>
      </c>
      <c r="C8" s="49" t="str">
        <f>IFERROR(VLOOKUP(B8,'Danh sách khối 3'!$B$2:$M$203,2,FALSE),"")</f>
        <v>Đỗ Thị Xuân</v>
      </c>
      <c r="D8" s="50" t="str">
        <f>IF(B8="","",IF('Danh sách yêu cầu thanh toán'!K2="chúc mừng CBNV","Chi kinh phí CĐ, PL chúc mừng đ/c "&amp;C8&amp;" "&amp;'Danh sách yêu cầu thanh toán'!L2,IF('Danh sách yêu cầu thanh toán'!K2="thăm hỏi CBNV","Chi kinh phí CĐ, PL thăm hỏi đ/c "&amp;C8&amp;" ốm",IF('Danh sách yêu cầu thanh toán'!K2="viếng CBNV từ trần","Chi kinh phí CĐ, PL viếng đ/c "&amp;C8&amp;" từ trần",IF('Danh sách yêu cầu thanh toán'!K2="viếng thân nhân CBNV từ trần","Chi kinh phí CĐ, PL viếng "&amp; 'Danh sách yêu cầu thanh toán'!#REF!&amp;" đ/c "&amp;C8&amp;" từ trần","Chi kinh phí CĐ, PL thăm hỏi "&amp;'Danh sách yêu cầu thanh toán'!M2&amp;" đ/c "&amp;C8&amp;" ốm")))))</f>
        <v>Chi kinh phí CĐ, PL thăm hỏi bố đẻ đ/c Đỗ Thị Xuân ốm</v>
      </c>
      <c r="E8" s="49" t="str">
        <f>IFERROR(VLOOKUP(B8,'Danh sách khối 3'!$B$2:$M$203,6,FALSE),"")</f>
        <v>Trung tâm Nền tảng IOT</v>
      </c>
      <c r="F8" s="51">
        <f>IF(B8="","",IF('Danh sách yêu cầu thanh toán'!K4="chúc mừng CBNV",1000000,IF('Danh sách yêu cầu thanh toán'!K4="viếng CBNV từ trần",1500000,IF('Danh sách yêu cầu thanh toán'!K4="viếng thân nhân CBNV từ trần",1500000,500000))))</f>
        <v>500000</v>
      </c>
      <c r="G8" s="52">
        <f>IF(B8="","",IF('Danh sách yêu cầu thanh toán'!K4="chúc mừng CBNV",1500000,IF('Danh sách yêu cầu thanh toán'!K4="viếng CBNV từ trần",2500000,IF('Danh sách yêu cầu thanh toán'!K4="viếng thân nhân CBNV từ trần",2000000,1000000))))</f>
        <v>1000000</v>
      </c>
      <c r="H8" s="52"/>
      <c r="I8" s="52">
        <f t="shared" ref="I8" si="0">IFERROR(F8+G8-H8,"")</f>
        <v>1500000</v>
      </c>
      <c r="J8" s="49" t="str">
        <f>IF('Danh sách yêu cầu thanh toán'!G2="","",IF(AND('Danh sách yêu cầu thanh toán'!R2="",'Danh sách yêu cầu thanh toán'!S2=""),'Danh sách yêu cầu thanh toán'!G2,'Danh sách yêu cầu thanh toán'!R2&amp;'Danh sách yêu cầu thanh toán'!S2))</f>
        <v>Phí Văn Thành</v>
      </c>
      <c r="K8" s="48" t="str">
        <f>IF(B8="","",PROPER(IF(AND('Danh sách yêu cầu thanh toán'!M2="",'Danh sách yêu cầu thanh toán'!T2=""),"bản thân",'Danh sách yêu cầu thanh toán'!M2&amp;'Danh sách yêu cầu thanh toán'!T2)))</f>
        <v>Bố Đẻ</v>
      </c>
      <c r="L8" s="53" t="str">
        <f>IF(B8="","",IF(OR('Danh sách yêu cầu thanh toán'!O2="Giấy chứng sinh",'Danh sách yêu cầu thanh toán'!O2="Giấy khai sinh"),'Danh sách yêu cầu thanh toán'!O2&amp;" số "&amp;'Danh sách yêu cầu thanh toán'!P2,IF(OR('Danh sách yêu cầu thanh toán'!O2="Giấy đăng ký kết hôn",'Danh sách yêu cầu thanh toán'!O2="Thiệp cưới",'Danh sách yêu cầu thanh toán'!O2="Giấy ra viện",'Danh sách yêu cầu thanh toán'!O2="Giấy nhập viện",'Danh sách yêu cầu thanh toán'!O2="Giấy chứng nhận phẫu thuật"),'Danh sách yêu cầu thanh toán'!O2&amp;" ngày "&amp;'Danh sách yêu cầu thanh toán'!P2,"Cáo phó ngày "&amp;'Danh sách yêu cầu thanh toán'!U2)))</f>
        <v>Giấy ra viện ngày 27/05/2025</v>
      </c>
      <c r="M8" s="48"/>
    </row>
    <row r="9" spans="1:19" s="6" customFormat="1" ht="34">
      <c r="A9" s="47">
        <f>ROWS($B$8:B9)</f>
        <v>2</v>
      </c>
      <c r="B9" s="48" t="s">
        <v>90</v>
      </c>
      <c r="C9" s="49" t="str">
        <f>IFERROR(VLOOKUP(B9,'Danh sách khối 3'!$B$2:$M$203,2,FALSE),"")</f>
        <v>Nguyễn Thị Hòa</v>
      </c>
      <c r="D9" s="50" t="str">
        <f>IF(B9="","",IF('Danh sách yêu cầu thanh toán'!K3="chúc mừng CBNV","Chi kinh phí CĐ, PL chúc mừng đ/c "&amp;C9&amp;" "&amp;'Danh sách yêu cầu thanh toán'!L3,IF('Danh sách yêu cầu thanh toán'!K3="thăm hỏi CBNV","Chi kinh phí CĐ, PL thăm hỏi đ/c "&amp;C9&amp;" ốm",IF('Danh sách yêu cầu thanh toán'!K3="viếng CBNV từ trần","Chi kinh phí CĐ, PL viếng đ/c "&amp;C9&amp;" từ trần",IF('Danh sách yêu cầu thanh toán'!K3="viếng thân nhân CBNV từ trần","Chi kinh phí CĐ, PL viếng "&amp; 'Danh sách yêu cầu thanh toán'!#REF!&amp;" đ/c "&amp;C9&amp;" từ trần","Chi kinh phí CĐ, PL thăm hỏi "&amp;'Danh sách yêu cầu thanh toán'!M3&amp;" đ/c "&amp;C9&amp;" ốm")))))</f>
        <v>Chi kinh phí CĐ, PL thăm hỏi bố chồng đ/c Nguyễn Thị Hòa ốm</v>
      </c>
      <c r="E9" s="49" t="str">
        <f>IFERROR(VLOOKUP(B9,'Danh sách khối 3'!$B$2:$M$203,6,FALSE),"")</f>
        <v>Phòng Tổng hợp</v>
      </c>
      <c r="F9" s="51">
        <f>IF(B9="","",IF('Danh sách yêu cầu thanh toán'!K5="chúc mừng CBNV",1000000,IF('Danh sách yêu cầu thanh toán'!K5="viếng CBNV từ trần",1500000,IF('Danh sách yêu cầu thanh toán'!K5="viếng thân nhân CBNV từ trần",1500000,500000))))</f>
        <v>500000</v>
      </c>
      <c r="G9" s="52">
        <f>IF(B9="","",IF('Danh sách yêu cầu thanh toán'!K5="chúc mừng CBNV",1500000,IF('Danh sách yêu cầu thanh toán'!K5="viếng CBNV từ trần",2500000,IF('Danh sách yêu cầu thanh toán'!K5="viếng thân nhân CBNV từ trần",2000000,1000000))))</f>
        <v>1000000</v>
      </c>
      <c r="H9" s="52"/>
      <c r="I9" s="52">
        <f t="shared" ref="I9:I11" si="1">IFERROR(F9+G9-H9,"")</f>
        <v>1500000</v>
      </c>
      <c r="J9" s="49" t="str">
        <f>IF('Danh sách yêu cầu thanh toán'!G3="","",IF(AND('Danh sách yêu cầu thanh toán'!R3="",'Danh sách yêu cầu thanh toán'!S3=""),'Danh sách yêu cầu thanh toán'!G3,'Danh sách yêu cầu thanh toán'!R3&amp;'Danh sách yêu cầu thanh toán'!S3))</f>
        <v>Đinh Văn Lừng</v>
      </c>
      <c r="K9" s="48" t="str">
        <f>IF(B9="","",PROPER(IF(AND('Danh sách yêu cầu thanh toán'!M3="",'Danh sách yêu cầu thanh toán'!T3=""),"bản thân",'Danh sách yêu cầu thanh toán'!M3&amp;'Danh sách yêu cầu thanh toán'!T3)))</f>
        <v>Bố Chồng</v>
      </c>
      <c r="L9" s="53" t="str">
        <f>IF(B9="","",IF(OR('Danh sách yêu cầu thanh toán'!O3="Giấy chứng sinh",'Danh sách yêu cầu thanh toán'!O3="Giấy khai sinh"),'Danh sách yêu cầu thanh toán'!O3&amp;" số "&amp;'Danh sách yêu cầu thanh toán'!P3,IF(OR('Danh sách yêu cầu thanh toán'!O3="Giấy đăng ký kết hôn",'Danh sách yêu cầu thanh toán'!O3="Thiệp cưới",'Danh sách yêu cầu thanh toán'!O3="Giấy ra viện",'Danh sách yêu cầu thanh toán'!O3="Giấy nhập viện",'Danh sách yêu cầu thanh toán'!O3="Giấy chứng nhận phẫu thuật"),'Danh sách yêu cầu thanh toán'!O3&amp;" ngày "&amp;'Danh sách yêu cầu thanh toán'!P3,"Cáo phó ngày "&amp;'Danh sách yêu cầu thanh toán'!U3)))</f>
        <v>Giấy ra viện ngày 06/06/2025</v>
      </c>
      <c r="M9" s="54"/>
    </row>
    <row r="10" spans="1:19" s="6" customFormat="1" ht="34">
      <c r="A10" s="47">
        <f>ROWS($B$8:B10)</f>
        <v>3</v>
      </c>
      <c r="B10" s="48" t="s">
        <v>521</v>
      </c>
      <c r="C10" s="49" t="s">
        <v>522</v>
      </c>
      <c r="D10" s="50" t="str">
        <f>IF(B10="","",IF('Danh sách yêu cầu thanh toán'!K4="chúc mừng CBNV","Chi kinh phí CĐ, PL chúc mừng đ/c "&amp;C10&amp;" "&amp;'Danh sách yêu cầu thanh toán'!L4,IF('Danh sách yêu cầu thanh toán'!K4="thăm hỏi CBNV","Chi kinh phí CĐ, PL thăm hỏi đ/c "&amp;C10&amp;" ốm",IF('Danh sách yêu cầu thanh toán'!K4="viếng CBNV từ trần","Chi kinh phí CĐ, PL viếng đ/c "&amp;C10&amp;" từ trần",IF('Danh sách yêu cầu thanh toán'!K4="viếng thân nhân CBNV từ trần","Chi kinh phí CĐ, PL viếng "&amp; 'Danh sách yêu cầu thanh toán'!#REF!&amp;" đ/c "&amp;C10&amp;" từ trần","Chi kinh phí CĐ, PL thăm hỏi "&amp;'Danh sách yêu cầu thanh toán'!M4&amp;" đ/c "&amp;C10&amp;" ốm")))))</f>
        <v>Chi kinh phí CĐ, PL thăm hỏi mẹ đẻ đ/c Nông Thị Minh Hiến ốm</v>
      </c>
      <c r="E10" s="49" t="s">
        <v>80</v>
      </c>
      <c r="F10" s="51">
        <f>IF(B10="","",IF('Danh sách yêu cầu thanh toán'!K6="chúc mừng CBNV",1000000,IF('Danh sách yêu cầu thanh toán'!K6="viếng CBNV từ trần",1500000,IF('Danh sách yêu cầu thanh toán'!K6="viếng thân nhân CBNV từ trần",1500000,500000))))</f>
        <v>500000</v>
      </c>
      <c r="G10" s="52">
        <f>IF(B10="","",IF('Danh sách yêu cầu thanh toán'!K6="chúc mừng CBNV",1500000,IF('Danh sách yêu cầu thanh toán'!K6="viếng CBNV từ trần",2500000,IF('Danh sách yêu cầu thanh toán'!K6="viếng thân nhân CBNV từ trần",2000000,1000000))))</f>
        <v>1000000</v>
      </c>
      <c r="H10" s="52"/>
      <c r="I10" s="52">
        <f t="shared" si="1"/>
        <v>1500000</v>
      </c>
      <c r="J10" s="49" t="str">
        <f>IF('Danh sách yêu cầu thanh toán'!G4="","",IF(AND('Danh sách yêu cầu thanh toán'!R4="",'Danh sách yêu cầu thanh toán'!S4=""),'Danh sách yêu cầu thanh toán'!G4,'Danh sách yêu cầu thanh toán'!R4&amp;'Danh sách yêu cầu thanh toán'!S4))</f>
        <v>Nguyễn Thị Bích Thủy</v>
      </c>
      <c r="K10" s="48" t="str">
        <f>IF(B10="","",PROPER(IF(AND('Danh sách yêu cầu thanh toán'!M4="",'Danh sách yêu cầu thanh toán'!T4=""),"bản thân",'Danh sách yêu cầu thanh toán'!M4&amp;'Danh sách yêu cầu thanh toán'!T4)))</f>
        <v>Mẹ Đẻ</v>
      </c>
      <c r="L10" s="53" t="str">
        <f>IF(B10="","",IF(OR('Danh sách yêu cầu thanh toán'!O4="Giấy chứng sinh",'Danh sách yêu cầu thanh toán'!O4="Giấy khai sinh"),'Danh sách yêu cầu thanh toán'!O4&amp;" số "&amp;'Danh sách yêu cầu thanh toán'!P4,IF(OR('Danh sách yêu cầu thanh toán'!O4="Giấy đăng ký kết hôn",'Danh sách yêu cầu thanh toán'!O4="Thiệp cưới",'Danh sách yêu cầu thanh toán'!O4="Giấy ra viện",'Danh sách yêu cầu thanh toán'!O4="Giấy nhập viện",'Danh sách yêu cầu thanh toán'!O4="Giấy chứng nhận phẫu thuật"),'Danh sách yêu cầu thanh toán'!O4&amp;" ngày "&amp;'Danh sách yêu cầu thanh toán'!P4,"Cáo phó ngày "&amp;'Danh sách yêu cầu thanh toán'!U4)))</f>
        <v>Giấy ra viện ngày 29/05/2025</v>
      </c>
      <c r="M10" s="55"/>
    </row>
    <row r="11" spans="1:19" s="6" customFormat="1" ht="34">
      <c r="A11" s="47">
        <f>ROWS($B$8:B11)</f>
        <v>4</v>
      </c>
      <c r="B11" s="48" t="s">
        <v>280</v>
      </c>
      <c r="C11" s="49" t="str">
        <f>IFERROR(VLOOKUP(B11,'Danh sách khối 3'!$B$2:$M$203,2,FALSE),"")</f>
        <v>Nguyễn Quang Chung</v>
      </c>
      <c r="D11" s="50" t="str">
        <f>IF(B11="","",IF('Danh sách yêu cầu thanh toán'!K5="chúc mừng CBNV","Chi kinh phí CĐ, PL chúc mừng đ/c "&amp;C11&amp;" "&amp;'Danh sách yêu cầu thanh toán'!L5,IF('Danh sách yêu cầu thanh toán'!K5="thăm hỏi CBNV","Chi kinh phí CĐ, PL thăm hỏi đ/c "&amp;C11&amp;" ốm",IF('Danh sách yêu cầu thanh toán'!K5="viếng CBNV từ trần","Chi kinh phí CĐ, PL viếng đ/c "&amp;C11&amp;" từ trần",IF('Danh sách yêu cầu thanh toán'!K5="viếng thân nhân CBNV từ trần","Chi kinh phí CĐ, PL viếng "&amp; 'Danh sách yêu cầu thanh toán'!T1&amp;" đ/c "&amp;C11&amp;" từ trần","Chi kinh phí CĐ, PL thăm hỏi "&amp;'Danh sách yêu cầu thanh toán'!M5&amp;" đ/c "&amp;C11&amp;" ốm")))))</f>
        <v>Chi kinh phí CĐ, PL thăm hỏi bố đẻ đ/c Nguyễn Quang Chung ốm</v>
      </c>
      <c r="E11" s="49" t="str">
        <f>IFERROR(VLOOKUP(B11,'Danh sách khối 3'!$B$2:$M$203,6,FALSE),"")</f>
        <v>Trung tâm Camera</v>
      </c>
      <c r="F11" s="51">
        <f>IF(B11="","",IF('Danh sách yêu cầu thanh toán'!K7="chúc mừng CBNV",1000000,IF('Danh sách yêu cầu thanh toán'!K7="viếng CBNV từ trần",1500000,IF('Danh sách yêu cầu thanh toán'!K7="viếng thân nhân CBNV từ trần",1500000,500000))))</f>
        <v>500000</v>
      </c>
      <c r="G11" s="52">
        <f>IF(B11="","",IF('Danh sách yêu cầu thanh toán'!K7="chúc mừng CBNV",1500000,IF('Danh sách yêu cầu thanh toán'!K7="viếng CBNV từ trần",2500000,IF('Danh sách yêu cầu thanh toán'!K7="viếng thân nhân CBNV từ trần",2000000,1000000))))</f>
        <v>1000000</v>
      </c>
      <c r="H11" s="52"/>
      <c r="I11" s="52">
        <f t="shared" si="1"/>
        <v>1500000</v>
      </c>
      <c r="J11" s="49" t="str">
        <f>IF('Danh sách yêu cầu thanh toán'!G5="","",IF(AND('Danh sách yêu cầu thanh toán'!R5="",'Danh sách yêu cầu thanh toán'!S5=""),'Danh sách yêu cầu thanh toán'!G5,'Danh sách yêu cầu thanh toán'!R5&amp;'Danh sách yêu cầu thanh toán'!S5))</f>
        <v>Trần Văn Triều</v>
      </c>
      <c r="K11" s="48" t="str">
        <f>IF(B11="","",PROPER(IF(AND('Danh sách yêu cầu thanh toán'!M5="",'Danh sách yêu cầu thanh toán'!T5=""),"bản thân",'Danh sách yêu cầu thanh toán'!M5&amp;'Danh sách yêu cầu thanh toán'!T5)))</f>
        <v>Bố Đẻ</v>
      </c>
      <c r="L11" s="53" t="str">
        <f>IF(B11="","",IF(OR('Danh sách yêu cầu thanh toán'!O5="Giấy chứng sinh",'Danh sách yêu cầu thanh toán'!O5="Giấy khai sinh"),'Danh sách yêu cầu thanh toán'!O5&amp;" số "&amp;'Danh sách yêu cầu thanh toán'!P5,IF(OR('Danh sách yêu cầu thanh toán'!O5="Giấy đăng ký kết hôn",'Danh sách yêu cầu thanh toán'!O5="Thiệp cưới",'Danh sách yêu cầu thanh toán'!O5="Giấy ra viện",'Danh sách yêu cầu thanh toán'!O5="Giấy nhập viện",'Danh sách yêu cầu thanh toán'!O5="Giấy chứng nhận phẫu thuật"),'Danh sách yêu cầu thanh toán'!O5&amp;" ngày "&amp;'Danh sách yêu cầu thanh toán'!P5,"Cáo phó ngày "&amp;'Danh sách yêu cầu thanh toán'!U5)))</f>
        <v>Giấy ra viện ngày 22/05/2025</v>
      </c>
      <c r="M11" s="14"/>
    </row>
    <row r="12" spans="1:19" ht="15.75" customHeight="1">
      <c r="A12" s="78" t="s">
        <v>523</v>
      </c>
      <c r="B12" s="78"/>
      <c r="C12" s="78"/>
      <c r="D12" s="78"/>
      <c r="E12" s="78"/>
      <c r="F12" s="15">
        <f>SUM(F8:F11)</f>
        <v>2000000</v>
      </c>
      <c r="G12" s="15">
        <f>SUM(G8:G11)</f>
        <v>4000000</v>
      </c>
      <c r="H12" s="15">
        <f>SUM(H8:H11)</f>
        <v>0</v>
      </c>
      <c r="I12" s="15">
        <f>SUM(I8:I11)</f>
        <v>6000000</v>
      </c>
      <c r="J12" s="16"/>
      <c r="K12" s="16"/>
      <c r="L12" s="16"/>
      <c r="M12" s="16"/>
    </row>
    <row r="13" spans="1:19" ht="15.75" customHeight="1">
      <c r="A13" s="79" t="s">
        <v>524</v>
      </c>
      <c r="B13" s="79"/>
      <c r="C13" s="79"/>
      <c r="D13" s="79"/>
      <c r="E13" s="79"/>
      <c r="F13" s="80" t="s">
        <v>525</v>
      </c>
      <c r="G13" s="80"/>
      <c r="H13" s="80"/>
      <c r="I13" s="81"/>
      <c r="J13" s="81"/>
      <c r="K13" s="81"/>
      <c r="L13" s="81"/>
      <c r="M13" s="17"/>
    </row>
    <row r="14" spans="1:19" ht="18.75" customHeight="1">
      <c r="A14" s="4"/>
      <c r="B14" s="12"/>
      <c r="C14" s="4"/>
      <c r="D14" s="4"/>
      <c r="E14" s="4"/>
      <c r="F14" s="82"/>
      <c r="G14" s="82"/>
      <c r="H14" s="82"/>
      <c r="I14" s="82"/>
    </row>
    <row r="15" spans="1:19" s="7" customFormat="1" ht="18.75" customHeight="1">
      <c r="A15" s="18"/>
      <c r="B15" s="74" t="s">
        <v>526</v>
      </c>
      <c r="C15" s="74"/>
      <c r="D15" s="74"/>
      <c r="E15" s="75" t="s">
        <v>527</v>
      </c>
      <c r="F15" s="75"/>
      <c r="G15" s="75"/>
      <c r="H15" s="75"/>
      <c r="I15" s="75"/>
      <c r="J15" s="74" t="s">
        <v>528</v>
      </c>
      <c r="K15" s="74"/>
      <c r="L15" s="74"/>
      <c r="M15" s="74"/>
      <c r="N15" s="19"/>
      <c r="O15" s="19"/>
    </row>
    <row r="20" spans="1:22" s="8" customFormat="1" ht="15.75" hidden="1" customHeight="1">
      <c r="A20" s="20">
        <f>I12</f>
        <v>6000000</v>
      </c>
      <c r="B20" s="21" t="str">
        <f>RIGHT("000000000000"&amp;ROUND(A20,0),12)</f>
        <v>000006000000</v>
      </c>
      <c r="C20" s="22">
        <v>1</v>
      </c>
      <c r="D20" s="22">
        <v>2</v>
      </c>
      <c r="E20" s="22">
        <v>3</v>
      </c>
      <c r="F20" s="23">
        <v>5</v>
      </c>
      <c r="G20" s="23"/>
      <c r="H20" s="23"/>
      <c r="I20" s="23">
        <v>6</v>
      </c>
      <c r="J20" s="24">
        <v>7</v>
      </c>
      <c r="K20" s="24"/>
      <c r="L20" s="24"/>
      <c r="M20" s="24">
        <v>8</v>
      </c>
      <c r="N20" s="24">
        <v>9</v>
      </c>
      <c r="O20" s="25">
        <v>10</v>
      </c>
      <c r="P20" s="25">
        <v>11</v>
      </c>
      <c r="Q20" s="25"/>
      <c r="T20" s="26"/>
      <c r="U20" s="26"/>
      <c r="V20" s="26"/>
    </row>
    <row r="21" spans="1:22" s="8" customFormat="1" ht="15.75" hidden="1" customHeight="1">
      <c r="A21" s="27"/>
      <c r="B21" s="28"/>
      <c r="C21" s="29">
        <f>VALUE(MID(B20,C20,1))</f>
        <v>0</v>
      </c>
      <c r="D21" s="29">
        <f>VALUE(MID(B20,D20,1))</f>
        <v>0</v>
      </c>
      <c r="E21" s="29">
        <f>VALUE(MID(B20,E20,1))</f>
        <v>0</v>
      </c>
      <c r="F21" s="30">
        <f>VALUE(MID(B20,F20,1))</f>
        <v>0</v>
      </c>
      <c r="G21" s="30"/>
      <c r="H21" s="30"/>
      <c r="I21" s="30">
        <f>VALUE(MID(B20,I20,1))</f>
        <v>6</v>
      </c>
      <c r="J21" s="31">
        <f>VALUE(MID(B20,J20,1))</f>
        <v>0</v>
      </c>
      <c r="K21" s="31"/>
      <c r="L21" s="31"/>
      <c r="M21" s="31">
        <f>VALUE(MID(B20,M20,1))</f>
        <v>0</v>
      </c>
      <c r="N21" s="31">
        <f>VALUE(MID(B20,N20,1))</f>
        <v>0</v>
      </c>
      <c r="O21" s="32">
        <f>VALUE(MID(B20,O20,1))</f>
        <v>0</v>
      </c>
      <c r="P21" s="32">
        <f>VALUE(MID(B20,P20,1))</f>
        <v>0</v>
      </c>
      <c r="Q21" s="32"/>
      <c r="T21" s="26"/>
      <c r="U21" s="26"/>
      <c r="V21" s="26"/>
    </row>
    <row r="22" spans="1:22" s="8" customFormat="1" ht="15.75" hidden="1" customHeight="1">
      <c r="A22" s="27"/>
      <c r="B22" s="28"/>
      <c r="C22" s="29">
        <f>SUM(C21:C21)</f>
        <v>0</v>
      </c>
      <c r="D22" s="29">
        <f>SUM(C21:D21)</f>
        <v>0</v>
      </c>
      <c r="E22" s="29">
        <f>SUM(C21:E21)</f>
        <v>0</v>
      </c>
      <c r="F22" s="30">
        <f>SUM(F21:F21)</f>
        <v>0</v>
      </c>
      <c r="G22" s="30"/>
      <c r="H22" s="30"/>
      <c r="I22" s="30">
        <f>SUM(F21:I21)</f>
        <v>6</v>
      </c>
      <c r="J22" s="31">
        <f>SUM(J21:J21)</f>
        <v>0</v>
      </c>
      <c r="K22" s="31"/>
      <c r="L22" s="31"/>
      <c r="M22" s="31">
        <f>SUM(J21:M21)</f>
        <v>0</v>
      </c>
      <c r="N22" s="31">
        <f>SUM(J21:N21)</f>
        <v>0</v>
      </c>
      <c r="O22" s="32">
        <f>SUM(O21:O21)</f>
        <v>0</v>
      </c>
      <c r="P22" s="32">
        <f>SUM(O21:P21)</f>
        <v>0</v>
      </c>
      <c r="Q22" s="32"/>
      <c r="T22" s="26"/>
      <c r="U22" s="26"/>
      <c r="V22" s="26"/>
    </row>
    <row r="23" spans="1:22" s="8" customFormat="1" ht="15.75" hidden="1" customHeight="1">
      <c r="A23" s="27"/>
      <c r="B23" s="28"/>
      <c r="C23" s="33" t="str">
        <f>IF(C21=0,"",CHOOSE(C21,"một","hai","ba","bốn","năm","sáu","bảy","tám","chín"))</f>
        <v/>
      </c>
      <c r="D23" s="33" t="str">
        <f>IF(D21=0,IF(AND(C21&lt;&gt;0,E21&lt;&gt;0),"lẻ",""),CHOOSE(D21,"mười","hai","ba","bốn","năm","sáu","bảy","tám","chín"))</f>
        <v/>
      </c>
      <c r="E23" s="33" t="str">
        <f>IF(E21=0,"",CHOOSE(E21,IF(D21&gt;1,"mốt","một"),"hai","ba","bốn",IF(D21=0,"năm","lăm"),"sáu","bảy","tám","chín"))</f>
        <v/>
      </c>
      <c r="F23" s="34" t="e">
        <f>IF(F21=0,IF(AND(#REF!&lt;&gt;0,I21&lt;&gt;0),"lẻ",""),CHOOSE(F21,"mười","hai","ba","bốn","năm","sáu","bảy","tám","chín"))</f>
        <v>#REF!</v>
      </c>
      <c r="G23" s="34"/>
      <c r="H23" s="34"/>
      <c r="I23" s="34" t="str">
        <f>IF(I21=0,"",CHOOSE(I21,IF(F21&gt;1,"mốt","một"),"hai","ba","bốn",IF(F21=0,"năm","lăm"),"sáu","bảy","tám","chín"))</f>
        <v>sáu</v>
      </c>
      <c r="J23" s="35" t="str">
        <f>IF(J21=0,"",CHOOSE(J21,"một","hai","ba","bốn","năm","sáu","bảy","tám","chín"))</f>
        <v/>
      </c>
      <c r="K23" s="35"/>
      <c r="L23" s="35"/>
      <c r="M23" s="35" t="str">
        <f>IF(M21=0,IF(AND(J21&lt;&gt;0,N21&lt;&gt;0),"lẻ",""),CHOOSE(M21,"mười","hai","ba","bốn","năm","sáu","bảy","tám","chín"))</f>
        <v/>
      </c>
      <c r="N23" s="35" t="str">
        <f>IF(N21=0,"",CHOOSE(N21,IF(M21&gt;1,"mốt","một"),"hai","ba","bốn",IF(M21=0,"năm","lăm"),"sáu","bảy","tám","chín"))</f>
        <v/>
      </c>
      <c r="O23" s="36" t="str">
        <f>IF(O21=0,"",CHOOSE(O21,"một","hai","ba","bốn","năm","sáu","bảy","tám","chín"))</f>
        <v/>
      </c>
      <c r="P23" s="36" t="str">
        <f>IF(P21=0,IF(AND(O21&lt;&gt;0,Q21&lt;&gt;0),"lẻ",""),CHOOSE(P21,"mười","hai","ba","bốn","năm","sáu","bảy","tám","chín"))</f>
        <v/>
      </c>
      <c r="Q23" s="36"/>
      <c r="T23" s="26"/>
      <c r="U23" s="26"/>
      <c r="V23" s="26"/>
    </row>
    <row r="24" spans="1:22" s="8" customFormat="1" ht="15.75" hidden="1" customHeight="1">
      <c r="A24" s="27"/>
      <c r="B24" s="28"/>
      <c r="C24" s="37" t="str">
        <f>IF(C21=0,"","trăm")</f>
        <v/>
      </c>
      <c r="D24" s="37" t="str">
        <f>IF(D21=0,"",IF(D21=1,"","mươi"))</f>
        <v/>
      </c>
      <c r="E24" s="37" t="str">
        <f>IF(AND(E21=0,E22=0),"","tỷ")</f>
        <v/>
      </c>
      <c r="F24" s="38" t="str">
        <f>IF(F21=0,"",IF(F21=1,"","mươi"))</f>
        <v/>
      </c>
      <c r="G24" s="38"/>
      <c r="H24" s="38"/>
      <c r="I24" s="38" t="str">
        <f>IF(AND(I21=0,I22=0),"","triệu")</f>
        <v>triệu</v>
      </c>
      <c r="J24" s="39" t="str">
        <f>IF(J21=0,"","trăm")</f>
        <v/>
      </c>
      <c r="K24" s="39"/>
      <c r="L24" s="39"/>
      <c r="M24" s="39" t="str">
        <f>IF(M21=0,"",IF(M21=1,"","mươi"))</f>
        <v/>
      </c>
      <c r="N24" s="39" t="str">
        <f>IF(AND(N21=0,N22=0),"","ngàn")</f>
        <v/>
      </c>
      <c r="O24" s="40" t="str">
        <f>IF(O21=0,"","trăm")</f>
        <v/>
      </c>
      <c r="P24" s="40" t="str">
        <f>IF(P21=0,"",IF(P21=1,"","mươi"))</f>
        <v/>
      </c>
      <c r="Q24" s="40"/>
      <c r="T24" s="26"/>
      <c r="U24" s="26"/>
      <c r="V24" s="26"/>
    </row>
    <row r="25" spans="1:22" s="8" customFormat="1" ht="15.75" hidden="1" customHeight="1">
      <c r="A25" s="27"/>
      <c r="B25" s="41" t="e">
        <f>UPPER(LEFT(TRIM(IF(A20=0,"không đồng.",C23&amp;" "&amp;C24&amp;" "&amp;D23&amp;" "&amp;D24&amp;" "&amp;E23&amp;" "&amp;E24&amp;" "&amp;#REF!&amp;" "&amp;#REF!&amp;" "&amp;F23&amp;" "&amp;F24&amp;" "&amp;I23&amp;" "&amp;I24&amp;" "&amp;J23&amp;" "&amp;J24&amp;" "&amp;M23&amp;" "&amp;M24&amp;" "&amp;N23&amp;" "&amp;N24&amp;" "&amp;O23&amp;" "&amp;O24&amp;" "&amp;P23&amp;" "&amp;P24&amp;" "&amp;Q23&amp;" "&amp;Q24)),1))&amp;RIGHT(TRIM(IF(A20=0,"không đồng.",C23&amp;" "&amp;C24&amp;" "&amp;D23&amp;" "&amp;D24&amp;" "&amp;E23&amp;" "&amp;E24&amp;" "&amp;#REF!&amp;" "&amp;#REF!&amp;" "&amp;F23&amp;" "&amp;F24&amp;" "&amp;I23&amp;" "&amp;I24&amp;" "&amp;J23&amp;" "&amp;J24&amp;" "&amp;M23&amp;" "&amp;M24&amp;" "&amp;N23&amp;" "&amp;N24&amp;" "&amp;O23&amp;" "&amp;O24&amp;" "&amp;P23&amp;" "&amp;P24&amp;" "&amp;Q23&amp;" "&amp;Q24)),LEN(TRIM(IF(A20=0,"không đồng.",C23&amp;" "&amp;C24&amp;" "&amp;D23&amp;" "&amp;D24&amp;" "&amp;E23&amp;" "&amp;E24&amp;" "&amp;#REF!&amp;" "&amp;#REF!&amp;" "&amp;F23&amp;" "&amp;F24&amp;" "&amp;I23&amp;" "&amp;I24&amp;" "&amp;J23&amp;" "&amp;J24&amp;" "&amp;M23&amp;" "&amp;M24&amp;" "&amp;N23&amp;" "&amp;N24&amp;" "&amp;O23&amp;" "&amp;O24&amp;" "&amp;P23&amp;" "&amp;P24&amp;" "&amp;Q23&amp;" "&amp;Q24)))-1)</f>
        <v>#REF!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T25" s="26"/>
      <c r="U25" s="26"/>
      <c r="V25" s="26"/>
    </row>
    <row r="26" spans="1:22" ht="15.75" customHeight="1">
      <c r="B26" s="41"/>
    </row>
  </sheetData>
  <mergeCells count="15">
    <mergeCell ref="A1:E1"/>
    <mergeCell ref="F1:M1"/>
    <mergeCell ref="A2:E2"/>
    <mergeCell ref="F2:M2"/>
    <mergeCell ref="A3:E3"/>
    <mergeCell ref="F3:M3"/>
    <mergeCell ref="B15:D15"/>
    <mergeCell ref="E15:I15"/>
    <mergeCell ref="J15:M15"/>
    <mergeCell ref="A4:M4"/>
    <mergeCell ref="A5:M5"/>
    <mergeCell ref="A12:E12"/>
    <mergeCell ref="A13:E13"/>
    <mergeCell ref="F13:L13"/>
    <mergeCell ref="F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khối 3</vt:lpstr>
      <vt:lpstr>Danh sách yêu cầu thanh toán</vt:lpstr>
      <vt:lpstr>CD - PL in cho ký nhận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Huynx10</dc:creator>
  <cp:keywords/>
  <dc:description/>
  <cp:lastModifiedBy>Nguyễn Xuân Huy</cp:lastModifiedBy>
  <cp:revision/>
  <dcterms:created xsi:type="dcterms:W3CDTF">2006-09-16T00:00:00Z</dcterms:created>
  <dcterms:modified xsi:type="dcterms:W3CDTF">2026-06-16T01:45:39Z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2026-06-16T01:45:21Z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f380bf27-17b2-4901-8f9f-84d2dd0410ee</vt:lpwstr>
  </property>
  <property fmtid="{D5CDD505-2E9C-101B-9397-08002B2CF9AE}" pid="7" name="MSIP_Label_defa4170-0d19-0005-0004-bc88714345d2_ActionId">
    <vt:lpwstr>b764c544-bb42-42c9-89fc-a3c573f9be02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